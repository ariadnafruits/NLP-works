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eles\estudis\Master Tecnologies del Llenguatge\ASSIGNATURES\DIT\TAREAS\TAREA 4\"/>
    </mc:Choice>
  </mc:AlternateContent>
  <bookViews>
    <workbookView xWindow="0" yWindow="0" windowWidth="20490" windowHeight="7755" activeTab="2"/>
  </bookViews>
  <sheets>
    <sheet name="Comparativa ce01" sheetId="1" r:id="rId1"/>
    <sheet name="gold tagset" sheetId="6" r:id="rId2"/>
    <sheet name="Brown tagset" sheetId="2" r:id="rId3"/>
    <sheet name="Universal tagset" sheetId="4" r:id="rId4"/>
    <sheet name="Brown-Universal mapping" sheetId="3" r:id="rId5"/>
  </sheets>
  <definedNames>
    <definedName name="_200111_1926_Perceptron_Brown" localSheetId="0">'Comparativa ce01'!$A$20:$K$369</definedName>
    <definedName name="_200112_2142_TnT_Brown" localSheetId="0">'Comparativa ce01'!#REF!</definedName>
    <definedName name="_200112_2142_TnT_Brown__1" localSheetId="0">'Comparativa ce01'!$AF$20:$AH$369</definedName>
    <definedName name="_xlnm._FilterDatabase" localSheetId="2" hidden="1">'Brown tagset'!$A$4:$C$91</definedName>
    <definedName name="_xlnm._FilterDatabase" localSheetId="4" hidden="1">'Brown-Universal mapping'!$A$5:$B$477</definedName>
    <definedName name="_xlnm._FilterDatabase" localSheetId="0" hidden="1">'Comparativa ce01'!$A$19:$AP$369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70" i="1" l="1"/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5" i="2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5" i="6"/>
  <c r="AG13" i="1" l="1"/>
  <c r="Z13" i="1"/>
  <c r="J13" i="1"/>
  <c r="AF13" i="1"/>
  <c r="Y13" i="1"/>
  <c r="I1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Y1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4" i="1"/>
  <c r="AB53" i="1"/>
  <c r="AB52" i="1"/>
  <c r="AB50" i="1"/>
  <c r="AB48" i="1"/>
  <c r="AB46" i="1"/>
  <c r="AB45" i="1"/>
  <c r="AB44" i="1"/>
  <c r="AB43" i="1"/>
  <c r="AB42" i="1"/>
  <c r="AB41" i="1"/>
  <c r="AB39" i="1"/>
  <c r="AB38" i="1"/>
  <c r="AB37" i="1"/>
  <c r="AB35" i="1"/>
  <c r="AB34" i="1"/>
  <c r="AB33" i="1"/>
  <c r="Z33" i="1"/>
  <c r="AB32" i="1"/>
  <c r="Z32" i="1"/>
  <c r="AB31" i="1"/>
  <c r="Z31" i="1"/>
  <c r="AB30" i="1"/>
  <c r="Z30" i="1"/>
  <c r="AB29" i="1"/>
  <c r="Z29" i="1"/>
  <c r="AB28" i="1"/>
  <c r="Z28" i="1"/>
  <c r="AB27" i="1"/>
  <c r="Z27" i="1"/>
  <c r="AB26" i="1"/>
  <c r="Z26" i="1"/>
  <c r="AB25" i="1"/>
  <c r="Z25" i="1"/>
  <c r="AB24" i="1"/>
  <c r="Z24" i="1"/>
  <c r="AB23" i="1"/>
  <c r="Z23" i="1"/>
  <c r="AB22" i="1"/>
  <c r="Z22" i="1"/>
  <c r="AB21" i="1"/>
  <c r="Z21" i="1"/>
  <c r="AC20" i="1"/>
  <c r="AB20" i="1"/>
  <c r="Z20" i="1"/>
  <c r="Y14" i="1" l="1"/>
  <c r="Y15" i="1" s="1"/>
  <c r="Y11" i="1"/>
  <c r="Y12" i="1" s="1"/>
  <c r="R15" i="1"/>
  <c r="Q15" i="1"/>
  <c r="AF10" i="1"/>
  <c r="I10" i="1"/>
  <c r="Y16" i="1" l="1"/>
  <c r="Q1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20" i="1"/>
  <c r="M21" i="1"/>
  <c r="AM21" i="1" s="1"/>
  <c r="M22" i="1"/>
  <c r="M23" i="1"/>
  <c r="M24" i="1"/>
  <c r="AM24" i="1" s="1"/>
  <c r="M25" i="1"/>
  <c r="AM25" i="1" s="1"/>
  <c r="M26" i="1"/>
  <c r="AM26" i="1" s="1"/>
  <c r="M27" i="1"/>
  <c r="M28" i="1"/>
  <c r="AM28" i="1" s="1"/>
  <c r="M29" i="1"/>
  <c r="AM29" i="1" s="1"/>
  <c r="M30" i="1"/>
  <c r="AM30" i="1" s="1"/>
  <c r="M31" i="1"/>
  <c r="M32" i="1"/>
  <c r="AM32" i="1" s="1"/>
  <c r="M33" i="1"/>
  <c r="AM33" i="1" s="1"/>
  <c r="M34" i="1"/>
  <c r="M35" i="1"/>
  <c r="M36" i="1"/>
  <c r="AM36" i="1" s="1"/>
  <c r="M37" i="1"/>
  <c r="AM37" i="1" s="1"/>
  <c r="M38" i="1"/>
  <c r="AM38" i="1" s="1"/>
  <c r="M39" i="1"/>
  <c r="AM39" i="1" s="1"/>
  <c r="M40" i="1"/>
  <c r="AM40" i="1" s="1"/>
  <c r="M41" i="1"/>
  <c r="AM41" i="1" s="1"/>
  <c r="M42" i="1"/>
  <c r="AM42" i="1" s="1"/>
  <c r="M43" i="1"/>
  <c r="AM43" i="1" s="1"/>
  <c r="M44" i="1"/>
  <c r="AM44" i="1" s="1"/>
  <c r="M45" i="1"/>
  <c r="AM45" i="1" s="1"/>
  <c r="M46" i="1"/>
  <c r="AM46" i="1" s="1"/>
  <c r="M47" i="1"/>
  <c r="AM47" i="1" s="1"/>
  <c r="M48" i="1"/>
  <c r="AM48" i="1" s="1"/>
  <c r="M49" i="1"/>
  <c r="AM49" i="1" s="1"/>
  <c r="M50" i="1"/>
  <c r="AM50" i="1" s="1"/>
  <c r="M51" i="1"/>
  <c r="AM51" i="1" s="1"/>
  <c r="M52" i="1"/>
  <c r="AM52" i="1" s="1"/>
  <c r="M53" i="1"/>
  <c r="AM53" i="1" s="1"/>
  <c r="M54" i="1"/>
  <c r="AM54" i="1" s="1"/>
  <c r="M55" i="1"/>
  <c r="AM55" i="1" s="1"/>
  <c r="M56" i="1"/>
  <c r="AM56" i="1" s="1"/>
  <c r="M57" i="1"/>
  <c r="AM57" i="1" s="1"/>
  <c r="M58" i="1"/>
  <c r="AM58" i="1" s="1"/>
  <c r="M59" i="1"/>
  <c r="AM59" i="1" s="1"/>
  <c r="M60" i="1"/>
  <c r="AM60" i="1" s="1"/>
  <c r="M61" i="1"/>
  <c r="AM61" i="1" s="1"/>
  <c r="M62" i="1"/>
  <c r="AM62" i="1" s="1"/>
  <c r="M63" i="1"/>
  <c r="AM63" i="1" s="1"/>
  <c r="M64" i="1"/>
  <c r="AM64" i="1" s="1"/>
  <c r="M65" i="1"/>
  <c r="AM65" i="1" s="1"/>
  <c r="M66" i="1"/>
  <c r="AM66" i="1" s="1"/>
  <c r="M67" i="1"/>
  <c r="AM67" i="1" s="1"/>
  <c r="M68" i="1"/>
  <c r="AM68" i="1" s="1"/>
  <c r="M69" i="1"/>
  <c r="AM69" i="1" s="1"/>
  <c r="M70" i="1"/>
  <c r="AM70" i="1" s="1"/>
  <c r="M71" i="1"/>
  <c r="AM71" i="1" s="1"/>
  <c r="M72" i="1"/>
  <c r="AM72" i="1" s="1"/>
  <c r="M73" i="1"/>
  <c r="AM73" i="1" s="1"/>
  <c r="M74" i="1"/>
  <c r="AM74" i="1" s="1"/>
  <c r="M75" i="1"/>
  <c r="AM75" i="1" s="1"/>
  <c r="M76" i="1"/>
  <c r="AM76" i="1" s="1"/>
  <c r="M77" i="1"/>
  <c r="AM77" i="1" s="1"/>
  <c r="M78" i="1"/>
  <c r="AM78" i="1" s="1"/>
  <c r="M79" i="1"/>
  <c r="AM79" i="1" s="1"/>
  <c r="M80" i="1"/>
  <c r="AM80" i="1" s="1"/>
  <c r="M81" i="1"/>
  <c r="AM81" i="1" s="1"/>
  <c r="M82" i="1"/>
  <c r="AM82" i="1" s="1"/>
  <c r="M83" i="1"/>
  <c r="AM83" i="1" s="1"/>
  <c r="M84" i="1"/>
  <c r="AM84" i="1" s="1"/>
  <c r="M85" i="1"/>
  <c r="AM85" i="1" s="1"/>
  <c r="M86" i="1"/>
  <c r="AM86" i="1" s="1"/>
  <c r="M87" i="1"/>
  <c r="AM87" i="1" s="1"/>
  <c r="M88" i="1"/>
  <c r="AM88" i="1" s="1"/>
  <c r="M89" i="1"/>
  <c r="AM89" i="1" s="1"/>
  <c r="M90" i="1"/>
  <c r="AM90" i="1" s="1"/>
  <c r="M91" i="1"/>
  <c r="AM91" i="1" s="1"/>
  <c r="M92" i="1"/>
  <c r="AM92" i="1" s="1"/>
  <c r="M93" i="1"/>
  <c r="AM93" i="1" s="1"/>
  <c r="M94" i="1"/>
  <c r="AM94" i="1" s="1"/>
  <c r="M95" i="1"/>
  <c r="AM95" i="1" s="1"/>
  <c r="M96" i="1"/>
  <c r="AM96" i="1" s="1"/>
  <c r="M97" i="1"/>
  <c r="AM97" i="1" s="1"/>
  <c r="M98" i="1"/>
  <c r="AM98" i="1" s="1"/>
  <c r="M99" i="1"/>
  <c r="AM99" i="1" s="1"/>
  <c r="M100" i="1"/>
  <c r="AM100" i="1" s="1"/>
  <c r="M101" i="1"/>
  <c r="AM101" i="1" s="1"/>
  <c r="M102" i="1"/>
  <c r="AM102" i="1" s="1"/>
  <c r="M103" i="1"/>
  <c r="AM103" i="1" s="1"/>
  <c r="M104" i="1"/>
  <c r="AM104" i="1" s="1"/>
  <c r="M105" i="1"/>
  <c r="AM105" i="1" s="1"/>
  <c r="M106" i="1"/>
  <c r="AM106" i="1" s="1"/>
  <c r="M107" i="1"/>
  <c r="AM107" i="1" s="1"/>
  <c r="M108" i="1"/>
  <c r="AM108" i="1" s="1"/>
  <c r="M109" i="1"/>
  <c r="AM109" i="1" s="1"/>
  <c r="M110" i="1"/>
  <c r="AM110" i="1" s="1"/>
  <c r="M111" i="1"/>
  <c r="AM111" i="1" s="1"/>
  <c r="M112" i="1"/>
  <c r="AM112" i="1" s="1"/>
  <c r="M113" i="1"/>
  <c r="AM113" i="1" s="1"/>
  <c r="M114" i="1"/>
  <c r="AM114" i="1" s="1"/>
  <c r="M115" i="1"/>
  <c r="AM115" i="1" s="1"/>
  <c r="M116" i="1"/>
  <c r="AM116" i="1" s="1"/>
  <c r="M117" i="1"/>
  <c r="AM117" i="1" s="1"/>
  <c r="M118" i="1"/>
  <c r="AM118" i="1" s="1"/>
  <c r="M119" i="1"/>
  <c r="M120" i="1"/>
  <c r="AM120" i="1" s="1"/>
  <c r="M121" i="1"/>
  <c r="AM121" i="1" s="1"/>
  <c r="M122" i="1"/>
  <c r="AM122" i="1" s="1"/>
  <c r="M123" i="1"/>
  <c r="AM123" i="1" s="1"/>
  <c r="M124" i="1"/>
  <c r="AM124" i="1" s="1"/>
  <c r="M125" i="1"/>
  <c r="AM125" i="1" s="1"/>
  <c r="M126" i="1"/>
  <c r="AM126" i="1" s="1"/>
  <c r="M127" i="1"/>
  <c r="AM127" i="1" s="1"/>
  <c r="M128" i="1"/>
  <c r="AM128" i="1" s="1"/>
  <c r="M129" i="1"/>
  <c r="AM129" i="1" s="1"/>
  <c r="M130" i="1"/>
  <c r="AM130" i="1" s="1"/>
  <c r="M131" i="1"/>
  <c r="AM131" i="1" s="1"/>
  <c r="M132" i="1"/>
  <c r="AM132" i="1" s="1"/>
  <c r="M133" i="1"/>
  <c r="AM133" i="1" s="1"/>
  <c r="M134" i="1"/>
  <c r="AM134" i="1" s="1"/>
  <c r="M135" i="1"/>
  <c r="AM135" i="1" s="1"/>
  <c r="M136" i="1"/>
  <c r="AM136" i="1" s="1"/>
  <c r="M137" i="1"/>
  <c r="AM137" i="1" s="1"/>
  <c r="M138" i="1"/>
  <c r="AM138" i="1" s="1"/>
  <c r="M139" i="1"/>
  <c r="AM139" i="1" s="1"/>
  <c r="M140" i="1"/>
  <c r="AM140" i="1" s="1"/>
  <c r="M141" i="1"/>
  <c r="AM141" i="1" s="1"/>
  <c r="M142" i="1"/>
  <c r="AM142" i="1" s="1"/>
  <c r="M143" i="1"/>
  <c r="AM143" i="1" s="1"/>
  <c r="M144" i="1"/>
  <c r="AM144" i="1" s="1"/>
  <c r="M145" i="1"/>
  <c r="AM145" i="1" s="1"/>
  <c r="M146" i="1"/>
  <c r="AM146" i="1" s="1"/>
  <c r="M147" i="1"/>
  <c r="AM147" i="1" s="1"/>
  <c r="M148" i="1"/>
  <c r="AM148" i="1" s="1"/>
  <c r="M149" i="1"/>
  <c r="AM149" i="1" s="1"/>
  <c r="M150" i="1"/>
  <c r="AM150" i="1" s="1"/>
  <c r="M151" i="1"/>
  <c r="AM151" i="1" s="1"/>
  <c r="M152" i="1"/>
  <c r="AM152" i="1" s="1"/>
  <c r="M153" i="1"/>
  <c r="AM153" i="1" s="1"/>
  <c r="M154" i="1"/>
  <c r="AM154" i="1" s="1"/>
  <c r="M155" i="1"/>
  <c r="AM155" i="1" s="1"/>
  <c r="M156" i="1"/>
  <c r="AM156" i="1" s="1"/>
  <c r="M157" i="1"/>
  <c r="AM157" i="1" s="1"/>
  <c r="M158" i="1"/>
  <c r="AM158" i="1" s="1"/>
  <c r="M159" i="1"/>
  <c r="AM159" i="1" s="1"/>
  <c r="M160" i="1"/>
  <c r="AM160" i="1" s="1"/>
  <c r="M161" i="1"/>
  <c r="AM161" i="1" s="1"/>
  <c r="M162" i="1"/>
  <c r="AM162" i="1" s="1"/>
  <c r="M163" i="1"/>
  <c r="AM163" i="1" s="1"/>
  <c r="M164" i="1"/>
  <c r="AM164" i="1" s="1"/>
  <c r="M165" i="1"/>
  <c r="AM165" i="1" s="1"/>
  <c r="M166" i="1"/>
  <c r="AM166" i="1" s="1"/>
  <c r="M167" i="1"/>
  <c r="AM167" i="1" s="1"/>
  <c r="M168" i="1"/>
  <c r="AM168" i="1" s="1"/>
  <c r="M169" i="1"/>
  <c r="AM169" i="1" s="1"/>
  <c r="M170" i="1"/>
  <c r="AM170" i="1" s="1"/>
  <c r="M171" i="1"/>
  <c r="AM171" i="1" s="1"/>
  <c r="M172" i="1"/>
  <c r="AM172" i="1" s="1"/>
  <c r="M173" i="1"/>
  <c r="AM173" i="1" s="1"/>
  <c r="M174" i="1"/>
  <c r="AM174" i="1" s="1"/>
  <c r="M175" i="1"/>
  <c r="AM175" i="1" s="1"/>
  <c r="M176" i="1"/>
  <c r="AM176" i="1" s="1"/>
  <c r="M177" i="1"/>
  <c r="AM177" i="1" s="1"/>
  <c r="M178" i="1"/>
  <c r="AM178" i="1" s="1"/>
  <c r="M179" i="1"/>
  <c r="AM179" i="1" s="1"/>
  <c r="M180" i="1"/>
  <c r="AM180" i="1" s="1"/>
  <c r="M181" i="1"/>
  <c r="AM181" i="1" s="1"/>
  <c r="M182" i="1"/>
  <c r="AM182" i="1" s="1"/>
  <c r="M183" i="1"/>
  <c r="AM183" i="1" s="1"/>
  <c r="M184" i="1"/>
  <c r="AM184" i="1" s="1"/>
  <c r="M185" i="1"/>
  <c r="AM185" i="1" s="1"/>
  <c r="M186" i="1"/>
  <c r="AM186" i="1" s="1"/>
  <c r="M187" i="1"/>
  <c r="M188" i="1"/>
  <c r="AM188" i="1" s="1"/>
  <c r="M189" i="1"/>
  <c r="AM189" i="1" s="1"/>
  <c r="M190" i="1"/>
  <c r="AM190" i="1" s="1"/>
  <c r="M191" i="1"/>
  <c r="AM191" i="1" s="1"/>
  <c r="M192" i="1"/>
  <c r="AM192" i="1" s="1"/>
  <c r="M193" i="1"/>
  <c r="AM193" i="1" s="1"/>
  <c r="M194" i="1"/>
  <c r="AM194" i="1" s="1"/>
  <c r="M195" i="1"/>
  <c r="AM195" i="1" s="1"/>
  <c r="M196" i="1"/>
  <c r="AM196" i="1" s="1"/>
  <c r="M197" i="1"/>
  <c r="AM197" i="1" s="1"/>
  <c r="M198" i="1"/>
  <c r="AM198" i="1" s="1"/>
  <c r="M199" i="1"/>
  <c r="AM199" i="1" s="1"/>
  <c r="M200" i="1"/>
  <c r="AM200" i="1" s="1"/>
  <c r="M201" i="1"/>
  <c r="AM201" i="1" s="1"/>
  <c r="M202" i="1"/>
  <c r="AM202" i="1" s="1"/>
  <c r="M203" i="1"/>
  <c r="AM203" i="1" s="1"/>
  <c r="M204" i="1"/>
  <c r="AM204" i="1" s="1"/>
  <c r="M205" i="1"/>
  <c r="AM205" i="1" s="1"/>
  <c r="M206" i="1"/>
  <c r="AM206" i="1" s="1"/>
  <c r="M207" i="1"/>
  <c r="AM207" i="1" s="1"/>
  <c r="M208" i="1"/>
  <c r="AM208" i="1" s="1"/>
  <c r="M209" i="1"/>
  <c r="AM209" i="1" s="1"/>
  <c r="M210" i="1"/>
  <c r="AM210" i="1" s="1"/>
  <c r="M211" i="1"/>
  <c r="AM211" i="1" s="1"/>
  <c r="M212" i="1"/>
  <c r="AM212" i="1" s="1"/>
  <c r="M213" i="1"/>
  <c r="AM213" i="1" s="1"/>
  <c r="M214" i="1"/>
  <c r="AM214" i="1" s="1"/>
  <c r="M215" i="1"/>
  <c r="AM215" i="1" s="1"/>
  <c r="M216" i="1"/>
  <c r="AM216" i="1" s="1"/>
  <c r="M217" i="1"/>
  <c r="AM217" i="1" s="1"/>
  <c r="M218" i="1"/>
  <c r="AM218" i="1" s="1"/>
  <c r="M219" i="1"/>
  <c r="AM219" i="1" s="1"/>
  <c r="M220" i="1"/>
  <c r="AM220" i="1" s="1"/>
  <c r="M221" i="1"/>
  <c r="AM221" i="1" s="1"/>
  <c r="M222" i="1"/>
  <c r="AM222" i="1" s="1"/>
  <c r="M223" i="1"/>
  <c r="AM223" i="1" s="1"/>
  <c r="M224" i="1"/>
  <c r="AM224" i="1" s="1"/>
  <c r="M225" i="1"/>
  <c r="AM225" i="1" s="1"/>
  <c r="M226" i="1"/>
  <c r="AM226" i="1" s="1"/>
  <c r="M227" i="1"/>
  <c r="AM227" i="1" s="1"/>
  <c r="M228" i="1"/>
  <c r="AM228" i="1" s="1"/>
  <c r="M229" i="1"/>
  <c r="AM229" i="1" s="1"/>
  <c r="M230" i="1"/>
  <c r="AM230" i="1" s="1"/>
  <c r="M231" i="1"/>
  <c r="AM231" i="1" s="1"/>
  <c r="M232" i="1"/>
  <c r="AM232" i="1" s="1"/>
  <c r="M233" i="1"/>
  <c r="AM233" i="1" s="1"/>
  <c r="M234" i="1"/>
  <c r="AM234" i="1" s="1"/>
  <c r="M235" i="1"/>
  <c r="AM235" i="1" s="1"/>
  <c r="M236" i="1"/>
  <c r="AM236" i="1" s="1"/>
  <c r="M237" i="1"/>
  <c r="AM237" i="1" s="1"/>
  <c r="M238" i="1"/>
  <c r="AM238" i="1" s="1"/>
  <c r="M239" i="1"/>
  <c r="AM239" i="1" s="1"/>
  <c r="M240" i="1"/>
  <c r="AM240" i="1" s="1"/>
  <c r="M241" i="1"/>
  <c r="AM241" i="1" s="1"/>
  <c r="M242" i="1"/>
  <c r="AM242" i="1" s="1"/>
  <c r="M243" i="1"/>
  <c r="AM243" i="1" s="1"/>
  <c r="M244" i="1"/>
  <c r="AM244" i="1" s="1"/>
  <c r="M245" i="1"/>
  <c r="AM245" i="1" s="1"/>
  <c r="M246" i="1"/>
  <c r="AM246" i="1" s="1"/>
  <c r="M247" i="1"/>
  <c r="AM247" i="1" s="1"/>
  <c r="M248" i="1"/>
  <c r="AM248" i="1" s="1"/>
  <c r="M249" i="1"/>
  <c r="AM249" i="1" s="1"/>
  <c r="M250" i="1"/>
  <c r="AM250" i="1" s="1"/>
  <c r="M251" i="1"/>
  <c r="AM251" i="1" s="1"/>
  <c r="M252" i="1"/>
  <c r="AM252" i="1" s="1"/>
  <c r="M253" i="1"/>
  <c r="AM253" i="1" s="1"/>
  <c r="M254" i="1"/>
  <c r="AM254" i="1" s="1"/>
  <c r="M255" i="1"/>
  <c r="AM255" i="1" s="1"/>
  <c r="M256" i="1"/>
  <c r="AM256" i="1" s="1"/>
  <c r="M257" i="1"/>
  <c r="AM257" i="1" s="1"/>
  <c r="M258" i="1"/>
  <c r="AM258" i="1" s="1"/>
  <c r="M259" i="1"/>
  <c r="AM259" i="1" s="1"/>
  <c r="M260" i="1"/>
  <c r="AM260" i="1" s="1"/>
  <c r="M261" i="1"/>
  <c r="AM261" i="1" s="1"/>
  <c r="M262" i="1"/>
  <c r="AM262" i="1" s="1"/>
  <c r="M263" i="1"/>
  <c r="AM263" i="1" s="1"/>
  <c r="M264" i="1"/>
  <c r="AM264" i="1" s="1"/>
  <c r="M265" i="1"/>
  <c r="AM265" i="1" s="1"/>
  <c r="M266" i="1"/>
  <c r="AM266" i="1" s="1"/>
  <c r="M267" i="1"/>
  <c r="AM267" i="1" s="1"/>
  <c r="M268" i="1"/>
  <c r="AM268" i="1" s="1"/>
  <c r="M269" i="1"/>
  <c r="AM269" i="1" s="1"/>
  <c r="M270" i="1"/>
  <c r="AM270" i="1" s="1"/>
  <c r="M271" i="1"/>
  <c r="AM271" i="1" s="1"/>
  <c r="M272" i="1"/>
  <c r="AM272" i="1" s="1"/>
  <c r="M273" i="1"/>
  <c r="AM273" i="1" s="1"/>
  <c r="M274" i="1"/>
  <c r="AM274" i="1" s="1"/>
  <c r="M275" i="1"/>
  <c r="AM275" i="1" s="1"/>
  <c r="M276" i="1"/>
  <c r="AM276" i="1" s="1"/>
  <c r="M277" i="1"/>
  <c r="AM277" i="1" s="1"/>
  <c r="M278" i="1"/>
  <c r="AM278" i="1" s="1"/>
  <c r="M279" i="1"/>
  <c r="AM279" i="1" s="1"/>
  <c r="M280" i="1"/>
  <c r="AM280" i="1" s="1"/>
  <c r="M281" i="1"/>
  <c r="AM281" i="1" s="1"/>
  <c r="M282" i="1"/>
  <c r="AM282" i="1" s="1"/>
  <c r="M283" i="1"/>
  <c r="AM283" i="1" s="1"/>
  <c r="M284" i="1"/>
  <c r="AM284" i="1" s="1"/>
  <c r="M285" i="1"/>
  <c r="AM285" i="1" s="1"/>
  <c r="M286" i="1"/>
  <c r="AM286" i="1" s="1"/>
  <c r="M287" i="1"/>
  <c r="AM287" i="1" s="1"/>
  <c r="M288" i="1"/>
  <c r="AM288" i="1" s="1"/>
  <c r="M289" i="1"/>
  <c r="AM289" i="1" s="1"/>
  <c r="M290" i="1"/>
  <c r="AM290" i="1" s="1"/>
  <c r="M291" i="1"/>
  <c r="AM291" i="1" s="1"/>
  <c r="M292" i="1"/>
  <c r="AM292" i="1" s="1"/>
  <c r="M293" i="1"/>
  <c r="AM293" i="1" s="1"/>
  <c r="M294" i="1"/>
  <c r="AM294" i="1" s="1"/>
  <c r="M295" i="1"/>
  <c r="AM295" i="1" s="1"/>
  <c r="M296" i="1"/>
  <c r="AM296" i="1" s="1"/>
  <c r="M297" i="1"/>
  <c r="AM297" i="1" s="1"/>
  <c r="M298" i="1"/>
  <c r="AM298" i="1" s="1"/>
  <c r="M299" i="1"/>
  <c r="AM299" i="1" s="1"/>
  <c r="M300" i="1"/>
  <c r="AM300" i="1" s="1"/>
  <c r="M301" i="1"/>
  <c r="AM301" i="1" s="1"/>
  <c r="M302" i="1"/>
  <c r="AM302" i="1" s="1"/>
  <c r="M303" i="1"/>
  <c r="AM303" i="1" s="1"/>
  <c r="M304" i="1"/>
  <c r="AM304" i="1" s="1"/>
  <c r="M305" i="1"/>
  <c r="AM305" i="1" s="1"/>
  <c r="M306" i="1"/>
  <c r="AM306" i="1" s="1"/>
  <c r="M307" i="1"/>
  <c r="AM307" i="1" s="1"/>
  <c r="M308" i="1"/>
  <c r="AM308" i="1" s="1"/>
  <c r="M309" i="1"/>
  <c r="AM309" i="1" s="1"/>
  <c r="M310" i="1"/>
  <c r="AM310" i="1" s="1"/>
  <c r="M311" i="1"/>
  <c r="AM311" i="1" s="1"/>
  <c r="M312" i="1"/>
  <c r="AM312" i="1" s="1"/>
  <c r="M313" i="1"/>
  <c r="AM313" i="1" s="1"/>
  <c r="M314" i="1"/>
  <c r="AM314" i="1" s="1"/>
  <c r="M315" i="1"/>
  <c r="AM315" i="1" s="1"/>
  <c r="M316" i="1"/>
  <c r="AM316" i="1" s="1"/>
  <c r="M317" i="1"/>
  <c r="AM317" i="1" s="1"/>
  <c r="M318" i="1"/>
  <c r="AM318" i="1" s="1"/>
  <c r="M319" i="1"/>
  <c r="AM319" i="1" s="1"/>
  <c r="M320" i="1"/>
  <c r="AM320" i="1" s="1"/>
  <c r="M321" i="1"/>
  <c r="AM321" i="1" s="1"/>
  <c r="M322" i="1"/>
  <c r="AM322" i="1" s="1"/>
  <c r="M323" i="1"/>
  <c r="AM323" i="1" s="1"/>
  <c r="M324" i="1"/>
  <c r="AM324" i="1" s="1"/>
  <c r="M325" i="1"/>
  <c r="AM325" i="1" s="1"/>
  <c r="M326" i="1"/>
  <c r="AM326" i="1" s="1"/>
  <c r="M327" i="1"/>
  <c r="AM327" i="1" s="1"/>
  <c r="M328" i="1"/>
  <c r="AM328" i="1" s="1"/>
  <c r="M329" i="1"/>
  <c r="AM329" i="1" s="1"/>
  <c r="M330" i="1"/>
  <c r="AM330" i="1" s="1"/>
  <c r="M331" i="1"/>
  <c r="AM331" i="1" s="1"/>
  <c r="M332" i="1"/>
  <c r="AM332" i="1" s="1"/>
  <c r="M333" i="1"/>
  <c r="AM333" i="1" s="1"/>
  <c r="M334" i="1"/>
  <c r="AM334" i="1" s="1"/>
  <c r="M335" i="1"/>
  <c r="AM335" i="1" s="1"/>
  <c r="M336" i="1"/>
  <c r="AM336" i="1" s="1"/>
  <c r="M337" i="1"/>
  <c r="AM337" i="1" s="1"/>
  <c r="M338" i="1"/>
  <c r="AM338" i="1" s="1"/>
  <c r="M339" i="1"/>
  <c r="AM339" i="1" s="1"/>
  <c r="M340" i="1"/>
  <c r="AM340" i="1" s="1"/>
  <c r="M341" i="1"/>
  <c r="AM341" i="1" s="1"/>
  <c r="M342" i="1"/>
  <c r="AM342" i="1" s="1"/>
  <c r="M343" i="1"/>
  <c r="AM343" i="1" s="1"/>
  <c r="M344" i="1"/>
  <c r="AM344" i="1" s="1"/>
  <c r="M345" i="1"/>
  <c r="AM345" i="1" s="1"/>
  <c r="M346" i="1"/>
  <c r="AM346" i="1" s="1"/>
  <c r="M347" i="1"/>
  <c r="AM347" i="1" s="1"/>
  <c r="M348" i="1"/>
  <c r="AM348" i="1" s="1"/>
  <c r="M349" i="1"/>
  <c r="AM349" i="1" s="1"/>
  <c r="M350" i="1"/>
  <c r="AM350" i="1" s="1"/>
  <c r="M351" i="1"/>
  <c r="AM351" i="1" s="1"/>
  <c r="M352" i="1"/>
  <c r="AM352" i="1" s="1"/>
  <c r="M353" i="1"/>
  <c r="AM353" i="1" s="1"/>
  <c r="M354" i="1"/>
  <c r="AM354" i="1" s="1"/>
  <c r="M355" i="1"/>
  <c r="AM355" i="1" s="1"/>
  <c r="M356" i="1"/>
  <c r="AM356" i="1" s="1"/>
  <c r="M357" i="1"/>
  <c r="AM357" i="1" s="1"/>
  <c r="M358" i="1"/>
  <c r="AM358" i="1" s="1"/>
  <c r="M359" i="1"/>
  <c r="AM359" i="1" s="1"/>
  <c r="M360" i="1"/>
  <c r="AM360" i="1" s="1"/>
  <c r="M361" i="1"/>
  <c r="AM361" i="1" s="1"/>
  <c r="M362" i="1"/>
  <c r="AM362" i="1" s="1"/>
  <c r="M363" i="1"/>
  <c r="AM363" i="1" s="1"/>
  <c r="M364" i="1"/>
  <c r="AM364" i="1" s="1"/>
  <c r="M365" i="1"/>
  <c r="AM365" i="1" s="1"/>
  <c r="M366" i="1"/>
  <c r="AM366" i="1" s="1"/>
  <c r="M367" i="1"/>
  <c r="AM367" i="1" s="1"/>
  <c r="M368" i="1"/>
  <c r="AM368" i="1" s="1"/>
  <c r="M369" i="1"/>
  <c r="AM369" i="1" s="1"/>
  <c r="M20" i="1"/>
  <c r="AM20" i="1" s="1"/>
  <c r="AG369" i="1"/>
  <c r="AG368" i="1"/>
  <c r="AP368" i="1" s="1"/>
  <c r="AG367" i="1"/>
  <c r="AG366" i="1"/>
  <c r="AP366" i="1" s="1"/>
  <c r="AG365" i="1"/>
  <c r="AG364" i="1"/>
  <c r="AP364" i="1" s="1"/>
  <c r="AG363" i="1"/>
  <c r="AP363" i="1" s="1"/>
  <c r="AG362" i="1"/>
  <c r="AP362" i="1" s="1"/>
  <c r="AG361" i="1"/>
  <c r="AG360" i="1"/>
  <c r="AP360" i="1" s="1"/>
  <c r="AG359" i="1"/>
  <c r="AP359" i="1" s="1"/>
  <c r="AG358" i="1"/>
  <c r="AP358" i="1" s="1"/>
  <c r="AG357" i="1"/>
  <c r="AG356" i="1"/>
  <c r="AP356" i="1" s="1"/>
  <c r="AG355" i="1"/>
  <c r="AP355" i="1" s="1"/>
  <c r="AG354" i="1"/>
  <c r="AP354" i="1" s="1"/>
  <c r="AG353" i="1"/>
  <c r="AG352" i="1"/>
  <c r="AP352" i="1" s="1"/>
  <c r="AG351" i="1"/>
  <c r="AP351" i="1" s="1"/>
  <c r="AG350" i="1"/>
  <c r="AP350" i="1" s="1"/>
  <c r="AG349" i="1"/>
  <c r="AG348" i="1"/>
  <c r="AP348" i="1" s="1"/>
  <c r="AG347" i="1"/>
  <c r="AP347" i="1" s="1"/>
  <c r="AG346" i="1"/>
  <c r="AP346" i="1" s="1"/>
  <c r="AG345" i="1"/>
  <c r="AG344" i="1"/>
  <c r="AP344" i="1" s="1"/>
  <c r="AG343" i="1"/>
  <c r="AP343" i="1" s="1"/>
  <c r="AG342" i="1"/>
  <c r="AP342" i="1" s="1"/>
  <c r="AG341" i="1"/>
  <c r="AG340" i="1"/>
  <c r="AP340" i="1" s="1"/>
  <c r="AG339" i="1"/>
  <c r="AP339" i="1" s="1"/>
  <c r="AG338" i="1"/>
  <c r="AP338" i="1" s="1"/>
  <c r="AG337" i="1"/>
  <c r="AG336" i="1"/>
  <c r="AP336" i="1" s="1"/>
  <c r="AG335" i="1"/>
  <c r="AP335" i="1" s="1"/>
  <c r="AG334" i="1"/>
  <c r="AP334" i="1" s="1"/>
  <c r="AG333" i="1"/>
  <c r="AG332" i="1"/>
  <c r="AP332" i="1" s="1"/>
  <c r="AG331" i="1"/>
  <c r="AP331" i="1" s="1"/>
  <c r="AG330" i="1"/>
  <c r="AP330" i="1" s="1"/>
  <c r="AG329" i="1"/>
  <c r="AG328" i="1"/>
  <c r="AP328" i="1" s="1"/>
  <c r="AG327" i="1"/>
  <c r="AP327" i="1" s="1"/>
  <c r="AG326" i="1"/>
  <c r="AP326" i="1" s="1"/>
  <c r="AG325" i="1"/>
  <c r="AG324" i="1"/>
  <c r="AP324" i="1" s="1"/>
  <c r="AG323" i="1"/>
  <c r="AP323" i="1" s="1"/>
  <c r="AG322" i="1"/>
  <c r="AP322" i="1" s="1"/>
  <c r="AG321" i="1"/>
  <c r="AG320" i="1"/>
  <c r="AP320" i="1" s="1"/>
  <c r="AG319" i="1"/>
  <c r="AP319" i="1" s="1"/>
  <c r="AG318" i="1"/>
  <c r="AP318" i="1" s="1"/>
  <c r="AG317" i="1"/>
  <c r="AG316" i="1"/>
  <c r="AP316" i="1" s="1"/>
  <c r="AG315" i="1"/>
  <c r="AP315" i="1" s="1"/>
  <c r="AG314" i="1"/>
  <c r="AP314" i="1" s="1"/>
  <c r="AG313" i="1"/>
  <c r="AG312" i="1"/>
  <c r="AP312" i="1" s="1"/>
  <c r="AG311" i="1"/>
  <c r="AP311" i="1" s="1"/>
  <c r="AG310" i="1"/>
  <c r="AP310" i="1" s="1"/>
  <c r="AG309" i="1"/>
  <c r="AG308" i="1"/>
  <c r="AP308" i="1" s="1"/>
  <c r="AG307" i="1"/>
  <c r="AP307" i="1" s="1"/>
  <c r="AG306" i="1"/>
  <c r="AP306" i="1" s="1"/>
  <c r="AG305" i="1"/>
  <c r="AG304" i="1"/>
  <c r="AP304" i="1" s="1"/>
  <c r="AG303" i="1"/>
  <c r="AP303" i="1" s="1"/>
  <c r="AG302" i="1"/>
  <c r="AP302" i="1" s="1"/>
  <c r="AG301" i="1"/>
  <c r="AG300" i="1"/>
  <c r="AP300" i="1" s="1"/>
  <c r="AG299" i="1"/>
  <c r="AP299" i="1" s="1"/>
  <c r="AG298" i="1"/>
  <c r="AP298" i="1" s="1"/>
  <c r="AG297" i="1"/>
  <c r="AG296" i="1"/>
  <c r="AP296" i="1" s="1"/>
  <c r="AG295" i="1"/>
  <c r="AP295" i="1" s="1"/>
  <c r="AG294" i="1"/>
  <c r="AP294" i="1" s="1"/>
  <c r="AG293" i="1"/>
  <c r="AG292" i="1"/>
  <c r="AP292" i="1" s="1"/>
  <c r="AG291" i="1"/>
  <c r="AP291" i="1" s="1"/>
  <c r="AG290" i="1"/>
  <c r="AP290" i="1" s="1"/>
  <c r="AG289" i="1"/>
  <c r="AG288" i="1"/>
  <c r="AP288" i="1" s="1"/>
  <c r="AG287" i="1"/>
  <c r="AP287" i="1" s="1"/>
  <c r="AG286" i="1"/>
  <c r="AP286" i="1" s="1"/>
  <c r="AG285" i="1"/>
  <c r="AG284" i="1"/>
  <c r="AP284" i="1" s="1"/>
  <c r="AG283" i="1"/>
  <c r="AP283" i="1" s="1"/>
  <c r="AG282" i="1"/>
  <c r="AP282" i="1" s="1"/>
  <c r="AG281" i="1"/>
  <c r="AG280" i="1"/>
  <c r="AP280" i="1" s="1"/>
  <c r="AG279" i="1"/>
  <c r="AP279" i="1" s="1"/>
  <c r="AG278" i="1"/>
  <c r="AP278" i="1" s="1"/>
  <c r="AG277" i="1"/>
  <c r="AG276" i="1"/>
  <c r="AP276" i="1" s="1"/>
  <c r="AG275" i="1"/>
  <c r="AP275" i="1" s="1"/>
  <c r="AG274" i="1"/>
  <c r="AP274" i="1" s="1"/>
  <c r="AG273" i="1"/>
  <c r="AG272" i="1"/>
  <c r="AP272" i="1" s="1"/>
  <c r="AG271" i="1"/>
  <c r="AP271" i="1" s="1"/>
  <c r="AG270" i="1"/>
  <c r="AP270" i="1" s="1"/>
  <c r="AG269" i="1"/>
  <c r="AG268" i="1"/>
  <c r="AP268" i="1" s="1"/>
  <c r="AG267" i="1"/>
  <c r="AP267" i="1" s="1"/>
  <c r="AG266" i="1"/>
  <c r="AP266" i="1" s="1"/>
  <c r="AG265" i="1"/>
  <c r="AG264" i="1"/>
  <c r="AP264" i="1" s="1"/>
  <c r="AG263" i="1"/>
  <c r="AP263" i="1" s="1"/>
  <c r="AG262" i="1"/>
  <c r="AP262" i="1" s="1"/>
  <c r="AG261" i="1"/>
  <c r="AG260" i="1"/>
  <c r="AP260" i="1" s="1"/>
  <c r="AG259" i="1"/>
  <c r="AP259" i="1" s="1"/>
  <c r="AG258" i="1"/>
  <c r="AP258" i="1" s="1"/>
  <c r="AG257" i="1"/>
  <c r="AG256" i="1"/>
  <c r="AP256" i="1" s="1"/>
  <c r="AG255" i="1"/>
  <c r="AP255" i="1" s="1"/>
  <c r="AG254" i="1"/>
  <c r="AP254" i="1" s="1"/>
  <c r="AG253" i="1"/>
  <c r="AG252" i="1"/>
  <c r="AP252" i="1" s="1"/>
  <c r="AG251" i="1"/>
  <c r="AP251" i="1" s="1"/>
  <c r="AG250" i="1"/>
  <c r="AP250" i="1" s="1"/>
  <c r="AG249" i="1"/>
  <c r="AG248" i="1"/>
  <c r="AP248" i="1" s="1"/>
  <c r="AG247" i="1"/>
  <c r="AP247" i="1" s="1"/>
  <c r="AG246" i="1"/>
  <c r="AP246" i="1" s="1"/>
  <c r="AG245" i="1"/>
  <c r="AG244" i="1"/>
  <c r="AP244" i="1" s="1"/>
  <c r="AG243" i="1"/>
  <c r="AP243" i="1" s="1"/>
  <c r="AG242" i="1"/>
  <c r="AP242" i="1" s="1"/>
  <c r="AG241" i="1"/>
  <c r="AG240" i="1"/>
  <c r="AP240" i="1" s="1"/>
  <c r="AG239" i="1"/>
  <c r="AP239" i="1" s="1"/>
  <c r="AG238" i="1"/>
  <c r="AP238" i="1" s="1"/>
  <c r="AG237" i="1"/>
  <c r="AG236" i="1"/>
  <c r="AP236" i="1" s="1"/>
  <c r="AG235" i="1"/>
  <c r="AP235" i="1" s="1"/>
  <c r="AG234" i="1"/>
  <c r="AP234" i="1" s="1"/>
  <c r="AG233" i="1"/>
  <c r="AG232" i="1"/>
  <c r="AP232" i="1" s="1"/>
  <c r="AG231" i="1"/>
  <c r="AP231" i="1" s="1"/>
  <c r="AG230" i="1"/>
  <c r="AP230" i="1" s="1"/>
  <c r="AG229" i="1"/>
  <c r="AG228" i="1"/>
  <c r="AP228" i="1" s="1"/>
  <c r="AG227" i="1"/>
  <c r="AP227" i="1" s="1"/>
  <c r="AG226" i="1"/>
  <c r="AP226" i="1" s="1"/>
  <c r="AG225" i="1"/>
  <c r="AG224" i="1"/>
  <c r="AP224" i="1" s="1"/>
  <c r="AG223" i="1"/>
  <c r="AP223" i="1" s="1"/>
  <c r="AG222" i="1"/>
  <c r="AP222" i="1" s="1"/>
  <c r="AG221" i="1"/>
  <c r="AG220" i="1"/>
  <c r="AP220" i="1" s="1"/>
  <c r="AG219" i="1"/>
  <c r="AP219" i="1" s="1"/>
  <c r="AG218" i="1"/>
  <c r="AP218" i="1" s="1"/>
  <c r="AG217" i="1"/>
  <c r="AG216" i="1"/>
  <c r="AP216" i="1" s="1"/>
  <c r="AG215" i="1"/>
  <c r="AP215" i="1" s="1"/>
  <c r="AG214" i="1"/>
  <c r="AP214" i="1" s="1"/>
  <c r="AG213" i="1"/>
  <c r="AG212" i="1"/>
  <c r="AP212" i="1" s="1"/>
  <c r="AG211" i="1"/>
  <c r="AP211" i="1" s="1"/>
  <c r="AG210" i="1"/>
  <c r="AP210" i="1" s="1"/>
  <c r="AG209" i="1"/>
  <c r="AG208" i="1"/>
  <c r="AP208" i="1" s="1"/>
  <c r="AG207" i="1"/>
  <c r="AP207" i="1" s="1"/>
  <c r="AG206" i="1"/>
  <c r="AP206" i="1" s="1"/>
  <c r="AG205" i="1"/>
  <c r="AG204" i="1"/>
  <c r="AP204" i="1" s="1"/>
  <c r="AG203" i="1"/>
  <c r="AP203" i="1" s="1"/>
  <c r="AG202" i="1"/>
  <c r="AP202" i="1" s="1"/>
  <c r="AG201" i="1"/>
  <c r="AG200" i="1"/>
  <c r="AP200" i="1" s="1"/>
  <c r="AG199" i="1"/>
  <c r="AP199" i="1" s="1"/>
  <c r="AG198" i="1"/>
  <c r="AP198" i="1" s="1"/>
  <c r="AG197" i="1"/>
  <c r="AG196" i="1"/>
  <c r="AP196" i="1" s="1"/>
  <c r="AG195" i="1"/>
  <c r="AP195" i="1" s="1"/>
  <c r="AG194" i="1"/>
  <c r="AP194" i="1" s="1"/>
  <c r="AG193" i="1"/>
  <c r="AG192" i="1"/>
  <c r="AP192" i="1" s="1"/>
  <c r="AG191" i="1"/>
  <c r="AP191" i="1" s="1"/>
  <c r="AG190" i="1"/>
  <c r="AP190" i="1" s="1"/>
  <c r="AG189" i="1"/>
  <c r="AG188" i="1"/>
  <c r="AP188" i="1" s="1"/>
  <c r="AG187" i="1"/>
  <c r="AG186" i="1"/>
  <c r="AP186" i="1" s="1"/>
  <c r="AG185" i="1"/>
  <c r="AG184" i="1"/>
  <c r="AP184" i="1" s="1"/>
  <c r="AG183" i="1"/>
  <c r="AP183" i="1" s="1"/>
  <c r="AG182" i="1"/>
  <c r="AP182" i="1" s="1"/>
  <c r="AG181" i="1"/>
  <c r="AG180" i="1"/>
  <c r="AP180" i="1" s="1"/>
  <c r="AG179" i="1"/>
  <c r="AP179" i="1" s="1"/>
  <c r="AG178" i="1"/>
  <c r="AP178" i="1" s="1"/>
  <c r="AG177" i="1"/>
  <c r="AG176" i="1"/>
  <c r="AP176" i="1" s="1"/>
  <c r="AG175" i="1"/>
  <c r="AP175" i="1" s="1"/>
  <c r="AG174" i="1"/>
  <c r="AP174" i="1" s="1"/>
  <c r="AG173" i="1"/>
  <c r="AG172" i="1"/>
  <c r="AP172" i="1" s="1"/>
  <c r="AG171" i="1"/>
  <c r="AP171" i="1" s="1"/>
  <c r="AG170" i="1"/>
  <c r="AP170" i="1" s="1"/>
  <c r="AG169" i="1"/>
  <c r="AG168" i="1"/>
  <c r="AP168" i="1" s="1"/>
  <c r="AG167" i="1"/>
  <c r="AP167" i="1" s="1"/>
  <c r="AG166" i="1"/>
  <c r="AP166" i="1" s="1"/>
  <c r="AG165" i="1"/>
  <c r="AG164" i="1"/>
  <c r="AP164" i="1" s="1"/>
  <c r="AG163" i="1"/>
  <c r="AP163" i="1" s="1"/>
  <c r="AG162" i="1"/>
  <c r="AG161" i="1"/>
  <c r="AG160" i="1"/>
  <c r="AP160" i="1" s="1"/>
  <c r="AG159" i="1"/>
  <c r="AP159" i="1" s="1"/>
  <c r="AG158" i="1"/>
  <c r="AP158" i="1" s="1"/>
  <c r="AG157" i="1"/>
  <c r="AG156" i="1"/>
  <c r="AP156" i="1" s="1"/>
  <c r="AG155" i="1"/>
  <c r="AP155" i="1" s="1"/>
  <c r="AG154" i="1"/>
  <c r="AP154" i="1" s="1"/>
  <c r="AG153" i="1"/>
  <c r="AG152" i="1"/>
  <c r="AP152" i="1" s="1"/>
  <c r="AG151" i="1"/>
  <c r="AP151" i="1" s="1"/>
  <c r="AG150" i="1"/>
  <c r="AP150" i="1" s="1"/>
  <c r="AG149" i="1"/>
  <c r="AG148" i="1"/>
  <c r="AP148" i="1" s="1"/>
  <c r="AG147" i="1"/>
  <c r="AP147" i="1" s="1"/>
  <c r="AG146" i="1"/>
  <c r="AP146" i="1" s="1"/>
  <c r="AG145" i="1"/>
  <c r="AG144" i="1"/>
  <c r="AP144" i="1" s="1"/>
  <c r="AG143" i="1"/>
  <c r="AP143" i="1" s="1"/>
  <c r="AG142" i="1"/>
  <c r="AP142" i="1" s="1"/>
  <c r="AG141" i="1"/>
  <c r="AG140" i="1"/>
  <c r="AP140" i="1" s="1"/>
  <c r="AG139" i="1"/>
  <c r="AP139" i="1" s="1"/>
  <c r="AG138" i="1"/>
  <c r="AP138" i="1" s="1"/>
  <c r="AG137" i="1"/>
  <c r="AG136" i="1"/>
  <c r="AP136" i="1" s="1"/>
  <c r="AG135" i="1"/>
  <c r="AP135" i="1" s="1"/>
  <c r="AG134" i="1"/>
  <c r="AP134" i="1" s="1"/>
  <c r="AG133" i="1"/>
  <c r="AG132" i="1"/>
  <c r="AP132" i="1" s="1"/>
  <c r="AG131" i="1"/>
  <c r="AP131" i="1" s="1"/>
  <c r="AG130" i="1"/>
  <c r="AP130" i="1" s="1"/>
  <c r="AG129" i="1"/>
  <c r="AG128" i="1"/>
  <c r="AP128" i="1" s="1"/>
  <c r="AG127" i="1"/>
  <c r="AP127" i="1" s="1"/>
  <c r="AG126" i="1"/>
  <c r="AP126" i="1" s="1"/>
  <c r="AG125" i="1"/>
  <c r="AG124" i="1"/>
  <c r="AP124" i="1" s="1"/>
  <c r="AG123" i="1"/>
  <c r="AP123" i="1" s="1"/>
  <c r="AG122" i="1"/>
  <c r="AP122" i="1" s="1"/>
  <c r="AG121" i="1"/>
  <c r="AG120" i="1"/>
  <c r="AP120" i="1" s="1"/>
  <c r="AG119" i="1"/>
  <c r="AG118" i="1"/>
  <c r="AP118" i="1" s="1"/>
  <c r="AG117" i="1"/>
  <c r="AG116" i="1"/>
  <c r="AP116" i="1" s="1"/>
  <c r="AG115" i="1"/>
  <c r="AP115" i="1" s="1"/>
  <c r="AG114" i="1"/>
  <c r="AP114" i="1" s="1"/>
  <c r="AG113" i="1"/>
  <c r="AG112" i="1"/>
  <c r="AP112" i="1" s="1"/>
  <c r="AG111" i="1"/>
  <c r="AP111" i="1" s="1"/>
  <c r="AG110" i="1"/>
  <c r="AP110" i="1" s="1"/>
  <c r="AG109" i="1"/>
  <c r="AG108" i="1"/>
  <c r="AP108" i="1" s="1"/>
  <c r="AG107" i="1"/>
  <c r="AP107" i="1" s="1"/>
  <c r="AG106" i="1"/>
  <c r="AP106" i="1" s="1"/>
  <c r="AG105" i="1"/>
  <c r="AG104" i="1"/>
  <c r="AP104" i="1" s="1"/>
  <c r="AG103" i="1"/>
  <c r="AP103" i="1" s="1"/>
  <c r="AG102" i="1"/>
  <c r="AG101" i="1"/>
  <c r="AG100" i="1"/>
  <c r="AP100" i="1" s="1"/>
  <c r="AG99" i="1"/>
  <c r="AP99" i="1" s="1"/>
  <c r="AG98" i="1"/>
  <c r="AP98" i="1" s="1"/>
  <c r="AG97" i="1"/>
  <c r="AG96" i="1"/>
  <c r="AP96" i="1" s="1"/>
  <c r="AG95" i="1"/>
  <c r="AP95" i="1" s="1"/>
  <c r="AG94" i="1"/>
  <c r="AP94" i="1" s="1"/>
  <c r="AG93" i="1"/>
  <c r="AG92" i="1"/>
  <c r="AP92" i="1" s="1"/>
  <c r="AG91" i="1"/>
  <c r="AP91" i="1" s="1"/>
  <c r="AG90" i="1"/>
  <c r="AP90" i="1" s="1"/>
  <c r="AG89" i="1"/>
  <c r="AG88" i="1"/>
  <c r="AP88" i="1" s="1"/>
  <c r="AG87" i="1"/>
  <c r="AP87" i="1" s="1"/>
  <c r="AG86" i="1"/>
  <c r="AP86" i="1" s="1"/>
  <c r="AG85" i="1"/>
  <c r="AG84" i="1"/>
  <c r="AP84" i="1" s="1"/>
  <c r="AG83" i="1"/>
  <c r="AP83" i="1" s="1"/>
  <c r="AG82" i="1"/>
  <c r="AP82" i="1" s="1"/>
  <c r="AG81" i="1"/>
  <c r="AG80" i="1"/>
  <c r="AP80" i="1" s="1"/>
  <c r="AG79" i="1"/>
  <c r="AP79" i="1" s="1"/>
  <c r="AG78" i="1"/>
  <c r="AP78" i="1" s="1"/>
  <c r="AG77" i="1"/>
  <c r="AG76" i="1"/>
  <c r="AP76" i="1" s="1"/>
  <c r="AG75" i="1"/>
  <c r="AP75" i="1" s="1"/>
  <c r="AG74" i="1"/>
  <c r="AP74" i="1" s="1"/>
  <c r="AG73" i="1"/>
  <c r="AG72" i="1"/>
  <c r="AP72" i="1" s="1"/>
  <c r="AG71" i="1"/>
  <c r="AP71" i="1" s="1"/>
  <c r="AG70" i="1"/>
  <c r="AP70" i="1" s="1"/>
  <c r="AG69" i="1"/>
  <c r="AG68" i="1"/>
  <c r="AP68" i="1" s="1"/>
  <c r="AG67" i="1"/>
  <c r="AP67" i="1" s="1"/>
  <c r="AG66" i="1"/>
  <c r="AP66" i="1" s="1"/>
  <c r="AG65" i="1"/>
  <c r="AG64" i="1"/>
  <c r="AP64" i="1" s="1"/>
  <c r="AG63" i="1"/>
  <c r="AP63" i="1" s="1"/>
  <c r="AG62" i="1"/>
  <c r="AP62" i="1" s="1"/>
  <c r="AG61" i="1"/>
  <c r="AG60" i="1"/>
  <c r="AP60" i="1" s="1"/>
  <c r="AG59" i="1"/>
  <c r="AP59" i="1" s="1"/>
  <c r="AG58" i="1"/>
  <c r="AP58" i="1" s="1"/>
  <c r="AG57" i="1"/>
  <c r="AG56" i="1"/>
  <c r="AP56" i="1" s="1"/>
  <c r="AG55" i="1"/>
  <c r="AP55" i="1" s="1"/>
  <c r="AG54" i="1"/>
  <c r="AP54" i="1" s="1"/>
  <c r="AG53" i="1"/>
  <c r="AG52" i="1"/>
  <c r="AP52" i="1" s="1"/>
  <c r="AG51" i="1"/>
  <c r="AP51" i="1" s="1"/>
  <c r="AG50" i="1"/>
  <c r="AP50" i="1" s="1"/>
  <c r="AG49" i="1"/>
  <c r="AG48" i="1"/>
  <c r="AP48" i="1" s="1"/>
  <c r="AG47" i="1"/>
  <c r="AP47" i="1" s="1"/>
  <c r="AG46" i="1"/>
  <c r="AP46" i="1" s="1"/>
  <c r="AG45" i="1"/>
  <c r="AG44" i="1"/>
  <c r="AP44" i="1" s="1"/>
  <c r="AG43" i="1"/>
  <c r="AP43" i="1" s="1"/>
  <c r="AG42" i="1"/>
  <c r="AP42" i="1" s="1"/>
  <c r="AG41" i="1"/>
  <c r="AG40" i="1"/>
  <c r="AP40" i="1" s="1"/>
  <c r="AG39" i="1"/>
  <c r="AP39" i="1" s="1"/>
  <c r="AG38" i="1"/>
  <c r="AP38" i="1" s="1"/>
  <c r="AG37" i="1"/>
  <c r="AG36" i="1"/>
  <c r="AP36" i="1" s="1"/>
  <c r="AG35" i="1"/>
  <c r="AG34" i="1"/>
  <c r="AG33" i="1"/>
  <c r="AG32" i="1"/>
  <c r="AP32" i="1" s="1"/>
  <c r="AG31" i="1"/>
  <c r="AG30" i="1"/>
  <c r="AP30" i="1" s="1"/>
  <c r="AG29" i="1"/>
  <c r="AG28" i="1"/>
  <c r="AP28" i="1" s="1"/>
  <c r="AG27" i="1"/>
  <c r="AG26" i="1"/>
  <c r="AP26" i="1" s="1"/>
  <c r="AG25" i="1"/>
  <c r="AG24" i="1"/>
  <c r="AP24" i="1" s="1"/>
  <c r="AG23" i="1"/>
  <c r="AG22" i="1"/>
  <c r="AG21" i="1"/>
  <c r="AG2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AM34" i="1" l="1"/>
  <c r="AP34" i="1" s="1"/>
  <c r="AP162" i="1"/>
  <c r="AP21" i="1"/>
  <c r="AP25" i="1"/>
  <c r="AP29" i="1"/>
  <c r="AP33" i="1"/>
  <c r="AP37" i="1"/>
  <c r="AP41" i="1"/>
  <c r="AP45" i="1"/>
  <c r="AP49" i="1"/>
  <c r="AP53" i="1"/>
  <c r="AP57" i="1"/>
  <c r="AP61" i="1"/>
  <c r="AP65" i="1"/>
  <c r="AP69" i="1"/>
  <c r="AP73" i="1"/>
  <c r="AP77" i="1"/>
  <c r="AP81" i="1"/>
  <c r="AP85" i="1"/>
  <c r="AP89" i="1"/>
  <c r="AP93" i="1"/>
  <c r="AP97" i="1"/>
  <c r="AP101" i="1"/>
  <c r="AP105" i="1"/>
  <c r="AP109" i="1"/>
  <c r="AP113" i="1"/>
  <c r="AP117" i="1"/>
  <c r="AP121" i="1"/>
  <c r="AP125" i="1"/>
  <c r="AP129" i="1"/>
  <c r="AP133" i="1"/>
  <c r="AP137" i="1"/>
  <c r="AP141" i="1"/>
  <c r="AP145" i="1"/>
  <c r="AP149" i="1"/>
  <c r="AP153" i="1"/>
  <c r="AP157" i="1"/>
  <c r="AP161" i="1"/>
  <c r="AP165" i="1"/>
  <c r="AP169" i="1"/>
  <c r="AP173" i="1"/>
  <c r="AP177" i="1"/>
  <c r="AP181" i="1"/>
  <c r="AP185" i="1"/>
  <c r="AP189" i="1"/>
  <c r="AP193" i="1"/>
  <c r="AP197" i="1"/>
  <c r="AP201" i="1"/>
  <c r="AP205" i="1"/>
  <c r="AP209" i="1"/>
  <c r="AP213" i="1"/>
  <c r="AP217" i="1"/>
  <c r="AP221" i="1"/>
  <c r="AP225" i="1"/>
  <c r="AP229" i="1"/>
  <c r="AP233" i="1"/>
  <c r="AP237" i="1"/>
  <c r="AP241" i="1"/>
  <c r="AP245" i="1"/>
  <c r="AP249" i="1"/>
  <c r="AP253" i="1"/>
  <c r="AP257" i="1"/>
  <c r="AP261" i="1"/>
  <c r="AP265" i="1"/>
  <c r="AP269" i="1"/>
  <c r="AP273" i="1"/>
  <c r="AP277" i="1"/>
  <c r="AP281" i="1"/>
  <c r="AP285" i="1"/>
  <c r="AP289" i="1"/>
  <c r="AP293" i="1"/>
  <c r="AP297" i="1"/>
  <c r="AP301" i="1"/>
  <c r="AP305" i="1"/>
  <c r="AP309" i="1"/>
  <c r="AP313" i="1"/>
  <c r="AP317" i="1"/>
  <c r="AP321" i="1"/>
  <c r="AP325" i="1"/>
  <c r="AP329" i="1"/>
  <c r="AP333" i="1"/>
  <c r="AP337" i="1"/>
  <c r="AP341" i="1"/>
  <c r="AP345" i="1"/>
  <c r="AP349" i="1"/>
  <c r="AP353" i="1"/>
  <c r="AP357" i="1"/>
  <c r="AP361" i="1"/>
  <c r="AP365" i="1"/>
  <c r="AP369" i="1"/>
  <c r="AP367" i="1"/>
  <c r="AP102" i="1"/>
  <c r="AP20" i="1"/>
  <c r="AM22" i="1"/>
  <c r="AP22" i="1" s="1"/>
  <c r="AM187" i="1"/>
  <c r="AP187" i="1" s="1"/>
  <c r="AM35" i="1"/>
  <c r="AP35" i="1" s="1"/>
  <c r="AM27" i="1"/>
  <c r="AP27" i="1" s="1"/>
  <c r="AM119" i="1"/>
  <c r="AP119" i="1" s="1"/>
  <c r="AM31" i="1"/>
  <c r="AP31" i="1" s="1"/>
  <c r="AM23" i="1"/>
  <c r="AP23" i="1" s="1"/>
  <c r="AF14" i="1"/>
  <c r="AF16" i="1" s="1"/>
  <c r="I14" i="1"/>
  <c r="I11" i="1"/>
  <c r="I12" i="1" s="1"/>
  <c r="AF11" i="1"/>
  <c r="AF12" i="1" s="1"/>
  <c r="Q11" i="1"/>
  <c r="Q12" i="1" s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I15" i="1" l="1"/>
  <c r="I16" i="1"/>
  <c r="I18" i="1" s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20" i="1"/>
  <c r="T34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20" i="1"/>
  <c r="G21" i="1"/>
  <c r="AD21" i="1" s="1"/>
  <c r="G22" i="1"/>
  <c r="AD22" i="1" s="1"/>
  <c r="G23" i="1"/>
  <c r="AD23" i="1" s="1"/>
  <c r="G24" i="1"/>
  <c r="AD24" i="1" s="1"/>
  <c r="G25" i="1"/>
  <c r="AD25" i="1" s="1"/>
  <c r="G26" i="1"/>
  <c r="AD26" i="1" s="1"/>
  <c r="G27" i="1"/>
  <c r="AD27" i="1" s="1"/>
  <c r="G28" i="1"/>
  <c r="AD28" i="1" s="1"/>
  <c r="G29" i="1"/>
  <c r="AD29" i="1" s="1"/>
  <c r="G30" i="1"/>
  <c r="AD30" i="1" s="1"/>
  <c r="G31" i="1"/>
  <c r="AD31" i="1" s="1"/>
  <c r="G32" i="1"/>
  <c r="AD32" i="1" s="1"/>
  <c r="G33" i="1"/>
  <c r="AD33" i="1" s="1"/>
  <c r="G34" i="1"/>
  <c r="AD34" i="1" s="1"/>
  <c r="G35" i="1"/>
  <c r="AD35" i="1" s="1"/>
  <c r="G36" i="1"/>
  <c r="AD36" i="1" s="1"/>
  <c r="G37" i="1"/>
  <c r="AD37" i="1" s="1"/>
  <c r="G38" i="1"/>
  <c r="AD38" i="1" s="1"/>
  <c r="G39" i="1"/>
  <c r="AD39" i="1" s="1"/>
  <c r="G40" i="1"/>
  <c r="AD40" i="1" s="1"/>
  <c r="G41" i="1"/>
  <c r="AD41" i="1" s="1"/>
  <c r="G42" i="1"/>
  <c r="AD42" i="1" s="1"/>
  <c r="G43" i="1"/>
  <c r="AD43" i="1" s="1"/>
  <c r="G44" i="1"/>
  <c r="AD44" i="1" s="1"/>
  <c r="G45" i="1"/>
  <c r="AD45" i="1" s="1"/>
  <c r="G46" i="1"/>
  <c r="AD46" i="1" s="1"/>
  <c r="G47" i="1"/>
  <c r="AD47" i="1" s="1"/>
  <c r="G48" i="1"/>
  <c r="AD48" i="1" s="1"/>
  <c r="G49" i="1"/>
  <c r="AD49" i="1" s="1"/>
  <c r="G50" i="1"/>
  <c r="AD50" i="1" s="1"/>
  <c r="G51" i="1"/>
  <c r="AD51" i="1" s="1"/>
  <c r="G52" i="1"/>
  <c r="AD52" i="1" s="1"/>
  <c r="G53" i="1"/>
  <c r="AD53" i="1" s="1"/>
  <c r="G54" i="1"/>
  <c r="AD54" i="1" s="1"/>
  <c r="G55" i="1"/>
  <c r="AD55" i="1" s="1"/>
  <c r="G56" i="1"/>
  <c r="AD56" i="1" s="1"/>
  <c r="G57" i="1"/>
  <c r="AD57" i="1" s="1"/>
  <c r="G58" i="1"/>
  <c r="AD58" i="1" s="1"/>
  <c r="G59" i="1"/>
  <c r="AD59" i="1" s="1"/>
  <c r="G60" i="1"/>
  <c r="AD60" i="1" s="1"/>
  <c r="G61" i="1"/>
  <c r="AD61" i="1" s="1"/>
  <c r="G62" i="1"/>
  <c r="AD62" i="1" s="1"/>
  <c r="G63" i="1"/>
  <c r="AD63" i="1" s="1"/>
  <c r="G64" i="1"/>
  <c r="AD64" i="1" s="1"/>
  <c r="G65" i="1"/>
  <c r="AD65" i="1" s="1"/>
  <c r="G66" i="1"/>
  <c r="AD66" i="1" s="1"/>
  <c r="G67" i="1"/>
  <c r="AD67" i="1" s="1"/>
  <c r="G68" i="1"/>
  <c r="AD68" i="1" s="1"/>
  <c r="G69" i="1"/>
  <c r="AD69" i="1" s="1"/>
  <c r="G70" i="1"/>
  <c r="AD70" i="1" s="1"/>
  <c r="G71" i="1"/>
  <c r="AD71" i="1" s="1"/>
  <c r="G72" i="1"/>
  <c r="AD72" i="1" s="1"/>
  <c r="G73" i="1"/>
  <c r="AD73" i="1" s="1"/>
  <c r="G74" i="1"/>
  <c r="AD74" i="1" s="1"/>
  <c r="G75" i="1"/>
  <c r="AD75" i="1" s="1"/>
  <c r="G76" i="1"/>
  <c r="AD76" i="1" s="1"/>
  <c r="G77" i="1"/>
  <c r="AD77" i="1" s="1"/>
  <c r="G78" i="1"/>
  <c r="AD78" i="1" s="1"/>
  <c r="G79" i="1"/>
  <c r="AD79" i="1" s="1"/>
  <c r="G80" i="1"/>
  <c r="AD80" i="1" s="1"/>
  <c r="G81" i="1"/>
  <c r="AD81" i="1" s="1"/>
  <c r="G82" i="1"/>
  <c r="AD82" i="1" s="1"/>
  <c r="G83" i="1"/>
  <c r="AD83" i="1" s="1"/>
  <c r="G84" i="1"/>
  <c r="AD84" i="1" s="1"/>
  <c r="G85" i="1"/>
  <c r="AD85" i="1" s="1"/>
  <c r="G86" i="1"/>
  <c r="AD86" i="1" s="1"/>
  <c r="G87" i="1"/>
  <c r="AD87" i="1" s="1"/>
  <c r="G88" i="1"/>
  <c r="AD88" i="1" s="1"/>
  <c r="G89" i="1"/>
  <c r="AD89" i="1" s="1"/>
  <c r="G90" i="1"/>
  <c r="AD90" i="1" s="1"/>
  <c r="G91" i="1"/>
  <c r="AD91" i="1" s="1"/>
  <c r="G92" i="1"/>
  <c r="AD92" i="1" s="1"/>
  <c r="G93" i="1"/>
  <c r="AD93" i="1" s="1"/>
  <c r="G94" i="1"/>
  <c r="AD94" i="1" s="1"/>
  <c r="G95" i="1"/>
  <c r="AD95" i="1" s="1"/>
  <c r="G96" i="1"/>
  <c r="AD96" i="1" s="1"/>
  <c r="G97" i="1"/>
  <c r="AD97" i="1" s="1"/>
  <c r="G98" i="1"/>
  <c r="AD98" i="1" s="1"/>
  <c r="G99" i="1"/>
  <c r="AD99" i="1" s="1"/>
  <c r="G100" i="1"/>
  <c r="AD100" i="1" s="1"/>
  <c r="G101" i="1"/>
  <c r="AD101" i="1" s="1"/>
  <c r="G102" i="1"/>
  <c r="AD102" i="1" s="1"/>
  <c r="G103" i="1"/>
  <c r="AD103" i="1" s="1"/>
  <c r="G104" i="1"/>
  <c r="AD104" i="1" s="1"/>
  <c r="G105" i="1"/>
  <c r="AD105" i="1" s="1"/>
  <c r="G106" i="1"/>
  <c r="AD106" i="1" s="1"/>
  <c r="G107" i="1"/>
  <c r="AD107" i="1" s="1"/>
  <c r="G108" i="1"/>
  <c r="AD108" i="1" s="1"/>
  <c r="G109" i="1"/>
  <c r="AD109" i="1" s="1"/>
  <c r="G110" i="1"/>
  <c r="AD110" i="1" s="1"/>
  <c r="G111" i="1"/>
  <c r="AD111" i="1" s="1"/>
  <c r="G112" i="1"/>
  <c r="AD112" i="1" s="1"/>
  <c r="G113" i="1"/>
  <c r="AD113" i="1" s="1"/>
  <c r="G114" i="1"/>
  <c r="AD114" i="1" s="1"/>
  <c r="G115" i="1"/>
  <c r="AD115" i="1" s="1"/>
  <c r="G116" i="1"/>
  <c r="AD116" i="1" s="1"/>
  <c r="G117" i="1"/>
  <c r="AD117" i="1" s="1"/>
  <c r="G118" i="1"/>
  <c r="AD118" i="1" s="1"/>
  <c r="G119" i="1"/>
  <c r="AD119" i="1" s="1"/>
  <c r="G120" i="1"/>
  <c r="AD120" i="1" s="1"/>
  <c r="G121" i="1"/>
  <c r="AD121" i="1" s="1"/>
  <c r="G122" i="1"/>
  <c r="AD122" i="1" s="1"/>
  <c r="G123" i="1"/>
  <c r="AD123" i="1" s="1"/>
  <c r="G124" i="1"/>
  <c r="AD124" i="1" s="1"/>
  <c r="G125" i="1"/>
  <c r="AD125" i="1" s="1"/>
  <c r="G126" i="1"/>
  <c r="AD126" i="1" s="1"/>
  <c r="G127" i="1"/>
  <c r="AD127" i="1" s="1"/>
  <c r="G128" i="1"/>
  <c r="AD128" i="1" s="1"/>
  <c r="G129" i="1"/>
  <c r="AD129" i="1" s="1"/>
  <c r="G130" i="1"/>
  <c r="AD130" i="1" s="1"/>
  <c r="G131" i="1"/>
  <c r="AD131" i="1" s="1"/>
  <c r="G132" i="1"/>
  <c r="AD132" i="1" s="1"/>
  <c r="G133" i="1"/>
  <c r="AD133" i="1" s="1"/>
  <c r="G134" i="1"/>
  <c r="AD134" i="1" s="1"/>
  <c r="G135" i="1"/>
  <c r="AD135" i="1" s="1"/>
  <c r="G136" i="1"/>
  <c r="AD136" i="1" s="1"/>
  <c r="G137" i="1"/>
  <c r="AD137" i="1" s="1"/>
  <c r="G138" i="1"/>
  <c r="AD138" i="1" s="1"/>
  <c r="G139" i="1"/>
  <c r="AD139" i="1" s="1"/>
  <c r="G140" i="1"/>
  <c r="AD140" i="1" s="1"/>
  <c r="G141" i="1"/>
  <c r="AD141" i="1" s="1"/>
  <c r="G142" i="1"/>
  <c r="AD142" i="1" s="1"/>
  <c r="G143" i="1"/>
  <c r="AD143" i="1" s="1"/>
  <c r="G144" i="1"/>
  <c r="AD144" i="1" s="1"/>
  <c r="G145" i="1"/>
  <c r="AD145" i="1" s="1"/>
  <c r="G146" i="1"/>
  <c r="AD146" i="1" s="1"/>
  <c r="G147" i="1"/>
  <c r="AD147" i="1" s="1"/>
  <c r="G148" i="1"/>
  <c r="AD148" i="1" s="1"/>
  <c r="G149" i="1"/>
  <c r="AD149" i="1" s="1"/>
  <c r="G150" i="1"/>
  <c r="AD150" i="1" s="1"/>
  <c r="G151" i="1"/>
  <c r="AD151" i="1" s="1"/>
  <c r="G152" i="1"/>
  <c r="AD152" i="1" s="1"/>
  <c r="G153" i="1"/>
  <c r="AD153" i="1" s="1"/>
  <c r="G154" i="1"/>
  <c r="AD154" i="1" s="1"/>
  <c r="G155" i="1"/>
  <c r="AD155" i="1" s="1"/>
  <c r="G156" i="1"/>
  <c r="AD156" i="1" s="1"/>
  <c r="G157" i="1"/>
  <c r="AD157" i="1" s="1"/>
  <c r="G158" i="1"/>
  <c r="AD158" i="1" s="1"/>
  <c r="G159" i="1"/>
  <c r="AD159" i="1" s="1"/>
  <c r="G160" i="1"/>
  <c r="AD160" i="1" s="1"/>
  <c r="G161" i="1"/>
  <c r="AD161" i="1" s="1"/>
  <c r="G162" i="1"/>
  <c r="AD162" i="1" s="1"/>
  <c r="G163" i="1"/>
  <c r="AD163" i="1" s="1"/>
  <c r="G164" i="1"/>
  <c r="AD164" i="1" s="1"/>
  <c r="G165" i="1"/>
  <c r="AD165" i="1" s="1"/>
  <c r="G166" i="1"/>
  <c r="AD166" i="1" s="1"/>
  <c r="G167" i="1"/>
  <c r="AD167" i="1" s="1"/>
  <c r="G168" i="1"/>
  <c r="AD168" i="1" s="1"/>
  <c r="G169" i="1"/>
  <c r="AD169" i="1" s="1"/>
  <c r="G170" i="1"/>
  <c r="AD170" i="1" s="1"/>
  <c r="G171" i="1"/>
  <c r="AD171" i="1" s="1"/>
  <c r="G172" i="1"/>
  <c r="AD172" i="1" s="1"/>
  <c r="G173" i="1"/>
  <c r="AD173" i="1" s="1"/>
  <c r="G174" i="1"/>
  <c r="AD174" i="1" s="1"/>
  <c r="G175" i="1"/>
  <c r="AD175" i="1" s="1"/>
  <c r="G176" i="1"/>
  <c r="AD176" i="1" s="1"/>
  <c r="G177" i="1"/>
  <c r="AD177" i="1" s="1"/>
  <c r="G178" i="1"/>
  <c r="AD178" i="1" s="1"/>
  <c r="G179" i="1"/>
  <c r="AD179" i="1" s="1"/>
  <c r="G180" i="1"/>
  <c r="AD180" i="1" s="1"/>
  <c r="G181" i="1"/>
  <c r="AD181" i="1" s="1"/>
  <c r="G182" i="1"/>
  <c r="AD182" i="1" s="1"/>
  <c r="G183" i="1"/>
  <c r="AD183" i="1" s="1"/>
  <c r="G184" i="1"/>
  <c r="AD184" i="1" s="1"/>
  <c r="G185" i="1"/>
  <c r="AD185" i="1" s="1"/>
  <c r="G186" i="1"/>
  <c r="AD186" i="1" s="1"/>
  <c r="G187" i="1"/>
  <c r="AD187" i="1" s="1"/>
  <c r="G188" i="1"/>
  <c r="AD188" i="1" s="1"/>
  <c r="G189" i="1"/>
  <c r="AD189" i="1" s="1"/>
  <c r="G190" i="1"/>
  <c r="AD190" i="1" s="1"/>
  <c r="G191" i="1"/>
  <c r="AD191" i="1" s="1"/>
  <c r="G192" i="1"/>
  <c r="AD192" i="1" s="1"/>
  <c r="G193" i="1"/>
  <c r="AD193" i="1" s="1"/>
  <c r="G194" i="1"/>
  <c r="AD194" i="1" s="1"/>
  <c r="G195" i="1"/>
  <c r="AD195" i="1" s="1"/>
  <c r="G196" i="1"/>
  <c r="AD196" i="1" s="1"/>
  <c r="G197" i="1"/>
  <c r="AD197" i="1" s="1"/>
  <c r="G198" i="1"/>
  <c r="AD198" i="1" s="1"/>
  <c r="G199" i="1"/>
  <c r="AD199" i="1" s="1"/>
  <c r="G200" i="1"/>
  <c r="AD200" i="1" s="1"/>
  <c r="G201" i="1"/>
  <c r="AD201" i="1" s="1"/>
  <c r="G202" i="1"/>
  <c r="AD202" i="1" s="1"/>
  <c r="G203" i="1"/>
  <c r="AD203" i="1" s="1"/>
  <c r="G204" i="1"/>
  <c r="AD204" i="1" s="1"/>
  <c r="G205" i="1"/>
  <c r="AD205" i="1" s="1"/>
  <c r="G206" i="1"/>
  <c r="AD206" i="1" s="1"/>
  <c r="G207" i="1"/>
  <c r="AD207" i="1" s="1"/>
  <c r="G208" i="1"/>
  <c r="AD208" i="1" s="1"/>
  <c r="G209" i="1"/>
  <c r="AD209" i="1" s="1"/>
  <c r="G210" i="1"/>
  <c r="AD210" i="1" s="1"/>
  <c r="G211" i="1"/>
  <c r="AD211" i="1" s="1"/>
  <c r="G212" i="1"/>
  <c r="AD212" i="1" s="1"/>
  <c r="G213" i="1"/>
  <c r="AD213" i="1" s="1"/>
  <c r="G214" i="1"/>
  <c r="AD214" i="1" s="1"/>
  <c r="G215" i="1"/>
  <c r="AD215" i="1" s="1"/>
  <c r="G216" i="1"/>
  <c r="AD216" i="1" s="1"/>
  <c r="G217" i="1"/>
  <c r="AD217" i="1" s="1"/>
  <c r="G218" i="1"/>
  <c r="AD218" i="1" s="1"/>
  <c r="G219" i="1"/>
  <c r="AD219" i="1" s="1"/>
  <c r="G220" i="1"/>
  <c r="AD220" i="1" s="1"/>
  <c r="G221" i="1"/>
  <c r="AD221" i="1" s="1"/>
  <c r="G222" i="1"/>
  <c r="AD222" i="1" s="1"/>
  <c r="G223" i="1"/>
  <c r="AD223" i="1" s="1"/>
  <c r="G224" i="1"/>
  <c r="AD224" i="1" s="1"/>
  <c r="G225" i="1"/>
  <c r="AD225" i="1" s="1"/>
  <c r="G226" i="1"/>
  <c r="AD226" i="1" s="1"/>
  <c r="G227" i="1"/>
  <c r="AD227" i="1" s="1"/>
  <c r="G228" i="1"/>
  <c r="AD228" i="1" s="1"/>
  <c r="G229" i="1"/>
  <c r="AD229" i="1" s="1"/>
  <c r="G230" i="1"/>
  <c r="AD230" i="1" s="1"/>
  <c r="G231" i="1"/>
  <c r="AD231" i="1" s="1"/>
  <c r="G232" i="1"/>
  <c r="AD232" i="1" s="1"/>
  <c r="G233" i="1"/>
  <c r="AD233" i="1" s="1"/>
  <c r="G234" i="1"/>
  <c r="AD234" i="1" s="1"/>
  <c r="G235" i="1"/>
  <c r="AD235" i="1" s="1"/>
  <c r="G236" i="1"/>
  <c r="AD236" i="1" s="1"/>
  <c r="G237" i="1"/>
  <c r="AD237" i="1" s="1"/>
  <c r="G238" i="1"/>
  <c r="AD238" i="1" s="1"/>
  <c r="G239" i="1"/>
  <c r="AD239" i="1" s="1"/>
  <c r="G240" i="1"/>
  <c r="AD240" i="1" s="1"/>
  <c r="G241" i="1"/>
  <c r="AD241" i="1" s="1"/>
  <c r="G242" i="1"/>
  <c r="AD242" i="1" s="1"/>
  <c r="G243" i="1"/>
  <c r="AD243" i="1" s="1"/>
  <c r="G244" i="1"/>
  <c r="AD244" i="1" s="1"/>
  <c r="G245" i="1"/>
  <c r="AD245" i="1" s="1"/>
  <c r="G246" i="1"/>
  <c r="AD246" i="1" s="1"/>
  <c r="G247" i="1"/>
  <c r="AD247" i="1" s="1"/>
  <c r="G248" i="1"/>
  <c r="AD248" i="1" s="1"/>
  <c r="G249" i="1"/>
  <c r="AD249" i="1" s="1"/>
  <c r="G250" i="1"/>
  <c r="AD250" i="1" s="1"/>
  <c r="G251" i="1"/>
  <c r="AD251" i="1" s="1"/>
  <c r="G252" i="1"/>
  <c r="AD252" i="1" s="1"/>
  <c r="G253" i="1"/>
  <c r="AD253" i="1" s="1"/>
  <c r="G254" i="1"/>
  <c r="AD254" i="1" s="1"/>
  <c r="G255" i="1"/>
  <c r="AD255" i="1" s="1"/>
  <c r="G256" i="1"/>
  <c r="AD256" i="1" s="1"/>
  <c r="G257" i="1"/>
  <c r="AD257" i="1" s="1"/>
  <c r="G258" i="1"/>
  <c r="AD258" i="1" s="1"/>
  <c r="G259" i="1"/>
  <c r="AD259" i="1" s="1"/>
  <c r="G260" i="1"/>
  <c r="AD260" i="1" s="1"/>
  <c r="G261" i="1"/>
  <c r="AD261" i="1" s="1"/>
  <c r="G262" i="1"/>
  <c r="AD262" i="1" s="1"/>
  <c r="G263" i="1"/>
  <c r="AD263" i="1" s="1"/>
  <c r="G264" i="1"/>
  <c r="AD264" i="1" s="1"/>
  <c r="G265" i="1"/>
  <c r="AD265" i="1" s="1"/>
  <c r="G266" i="1"/>
  <c r="AD266" i="1" s="1"/>
  <c r="G267" i="1"/>
  <c r="AD267" i="1" s="1"/>
  <c r="G268" i="1"/>
  <c r="AD268" i="1" s="1"/>
  <c r="G269" i="1"/>
  <c r="AD269" i="1" s="1"/>
  <c r="G270" i="1"/>
  <c r="AD270" i="1" s="1"/>
  <c r="G271" i="1"/>
  <c r="AD271" i="1" s="1"/>
  <c r="G272" i="1"/>
  <c r="AD272" i="1" s="1"/>
  <c r="G273" i="1"/>
  <c r="AD273" i="1" s="1"/>
  <c r="G274" i="1"/>
  <c r="AD274" i="1" s="1"/>
  <c r="G275" i="1"/>
  <c r="AD275" i="1" s="1"/>
  <c r="G276" i="1"/>
  <c r="AD276" i="1" s="1"/>
  <c r="G277" i="1"/>
  <c r="AD277" i="1" s="1"/>
  <c r="G278" i="1"/>
  <c r="AD278" i="1" s="1"/>
  <c r="G279" i="1"/>
  <c r="AD279" i="1" s="1"/>
  <c r="G280" i="1"/>
  <c r="AD280" i="1" s="1"/>
  <c r="G281" i="1"/>
  <c r="AD281" i="1" s="1"/>
  <c r="G282" i="1"/>
  <c r="AD282" i="1" s="1"/>
  <c r="G283" i="1"/>
  <c r="AD283" i="1" s="1"/>
  <c r="G284" i="1"/>
  <c r="AD284" i="1" s="1"/>
  <c r="G285" i="1"/>
  <c r="AD285" i="1" s="1"/>
  <c r="G286" i="1"/>
  <c r="AD286" i="1" s="1"/>
  <c r="G287" i="1"/>
  <c r="AD287" i="1" s="1"/>
  <c r="G288" i="1"/>
  <c r="AD288" i="1" s="1"/>
  <c r="G289" i="1"/>
  <c r="AD289" i="1" s="1"/>
  <c r="G290" i="1"/>
  <c r="AD290" i="1" s="1"/>
  <c r="G291" i="1"/>
  <c r="AD291" i="1" s="1"/>
  <c r="G292" i="1"/>
  <c r="AD292" i="1" s="1"/>
  <c r="G293" i="1"/>
  <c r="AD293" i="1" s="1"/>
  <c r="G294" i="1"/>
  <c r="AD294" i="1" s="1"/>
  <c r="G295" i="1"/>
  <c r="AD295" i="1" s="1"/>
  <c r="G296" i="1"/>
  <c r="AD296" i="1" s="1"/>
  <c r="G297" i="1"/>
  <c r="AD297" i="1" s="1"/>
  <c r="G298" i="1"/>
  <c r="AD298" i="1" s="1"/>
  <c r="G299" i="1"/>
  <c r="AD299" i="1" s="1"/>
  <c r="G300" i="1"/>
  <c r="AD300" i="1" s="1"/>
  <c r="G301" i="1"/>
  <c r="AD301" i="1" s="1"/>
  <c r="G302" i="1"/>
  <c r="AD302" i="1" s="1"/>
  <c r="G303" i="1"/>
  <c r="AD303" i="1" s="1"/>
  <c r="G304" i="1"/>
  <c r="AD304" i="1" s="1"/>
  <c r="G305" i="1"/>
  <c r="AD305" i="1" s="1"/>
  <c r="G306" i="1"/>
  <c r="AD306" i="1" s="1"/>
  <c r="G307" i="1"/>
  <c r="AD307" i="1" s="1"/>
  <c r="G308" i="1"/>
  <c r="AD308" i="1" s="1"/>
  <c r="G309" i="1"/>
  <c r="AD309" i="1" s="1"/>
  <c r="G310" i="1"/>
  <c r="AD310" i="1" s="1"/>
  <c r="G311" i="1"/>
  <c r="AD311" i="1" s="1"/>
  <c r="G312" i="1"/>
  <c r="AD312" i="1" s="1"/>
  <c r="G313" i="1"/>
  <c r="AD313" i="1" s="1"/>
  <c r="G314" i="1"/>
  <c r="AD314" i="1" s="1"/>
  <c r="G315" i="1"/>
  <c r="AD315" i="1" s="1"/>
  <c r="G316" i="1"/>
  <c r="AD316" i="1" s="1"/>
  <c r="G317" i="1"/>
  <c r="AD317" i="1" s="1"/>
  <c r="G318" i="1"/>
  <c r="AD318" i="1" s="1"/>
  <c r="G319" i="1"/>
  <c r="AD319" i="1" s="1"/>
  <c r="G320" i="1"/>
  <c r="AD320" i="1" s="1"/>
  <c r="G321" i="1"/>
  <c r="AD321" i="1" s="1"/>
  <c r="G322" i="1"/>
  <c r="AD322" i="1" s="1"/>
  <c r="G323" i="1"/>
  <c r="AD323" i="1" s="1"/>
  <c r="G324" i="1"/>
  <c r="AD324" i="1" s="1"/>
  <c r="G325" i="1"/>
  <c r="AD325" i="1" s="1"/>
  <c r="G326" i="1"/>
  <c r="AD326" i="1" s="1"/>
  <c r="G327" i="1"/>
  <c r="AD327" i="1" s="1"/>
  <c r="G328" i="1"/>
  <c r="AD328" i="1" s="1"/>
  <c r="G329" i="1"/>
  <c r="AD329" i="1" s="1"/>
  <c r="G330" i="1"/>
  <c r="AD330" i="1" s="1"/>
  <c r="G331" i="1"/>
  <c r="AD331" i="1" s="1"/>
  <c r="G332" i="1"/>
  <c r="AD332" i="1" s="1"/>
  <c r="G333" i="1"/>
  <c r="AD333" i="1" s="1"/>
  <c r="G334" i="1"/>
  <c r="AD334" i="1" s="1"/>
  <c r="G335" i="1"/>
  <c r="AD335" i="1" s="1"/>
  <c r="G336" i="1"/>
  <c r="AD336" i="1" s="1"/>
  <c r="G337" i="1"/>
  <c r="AD337" i="1" s="1"/>
  <c r="G338" i="1"/>
  <c r="AD338" i="1" s="1"/>
  <c r="G339" i="1"/>
  <c r="AD339" i="1" s="1"/>
  <c r="G340" i="1"/>
  <c r="AD340" i="1" s="1"/>
  <c r="G341" i="1"/>
  <c r="AD341" i="1" s="1"/>
  <c r="G342" i="1"/>
  <c r="AD342" i="1" s="1"/>
  <c r="G343" i="1"/>
  <c r="AD343" i="1" s="1"/>
  <c r="G344" i="1"/>
  <c r="AD344" i="1" s="1"/>
  <c r="G345" i="1"/>
  <c r="AD345" i="1" s="1"/>
  <c r="G346" i="1"/>
  <c r="AD346" i="1" s="1"/>
  <c r="G347" i="1"/>
  <c r="AD347" i="1" s="1"/>
  <c r="G348" i="1"/>
  <c r="AD348" i="1" s="1"/>
  <c r="G349" i="1"/>
  <c r="AD349" i="1" s="1"/>
  <c r="G350" i="1"/>
  <c r="AD350" i="1" s="1"/>
  <c r="G351" i="1"/>
  <c r="AD351" i="1" s="1"/>
  <c r="G352" i="1"/>
  <c r="AD352" i="1" s="1"/>
  <c r="G353" i="1"/>
  <c r="AD353" i="1" s="1"/>
  <c r="G354" i="1"/>
  <c r="AD354" i="1" s="1"/>
  <c r="G355" i="1"/>
  <c r="AD355" i="1" s="1"/>
  <c r="G356" i="1"/>
  <c r="AD356" i="1" s="1"/>
  <c r="G357" i="1"/>
  <c r="AD357" i="1" s="1"/>
  <c r="G358" i="1"/>
  <c r="AD358" i="1" s="1"/>
  <c r="G359" i="1"/>
  <c r="AD359" i="1" s="1"/>
  <c r="G360" i="1"/>
  <c r="AD360" i="1" s="1"/>
  <c r="G361" i="1"/>
  <c r="AD361" i="1" s="1"/>
  <c r="G362" i="1"/>
  <c r="AD362" i="1" s="1"/>
  <c r="G363" i="1"/>
  <c r="AD363" i="1" s="1"/>
  <c r="G364" i="1"/>
  <c r="AD364" i="1" s="1"/>
  <c r="G365" i="1"/>
  <c r="AD365" i="1" s="1"/>
  <c r="G366" i="1"/>
  <c r="AD366" i="1" s="1"/>
  <c r="G367" i="1"/>
  <c r="AD367" i="1" s="1"/>
  <c r="G368" i="1"/>
  <c r="AD368" i="1" s="1"/>
  <c r="G369" i="1"/>
  <c r="AD369" i="1" s="1"/>
  <c r="G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20" i="1"/>
  <c r="Z14" i="1" l="1"/>
  <c r="Z10" i="1"/>
  <c r="AD20" i="1"/>
  <c r="Z11" i="1" s="1"/>
  <c r="AG10" i="1"/>
  <c r="J10" i="1"/>
  <c r="N352" i="1"/>
  <c r="N324" i="1"/>
  <c r="N304" i="1"/>
  <c r="N280" i="1"/>
  <c r="N272" i="1"/>
  <c r="N256" i="1"/>
  <c r="N248" i="1"/>
  <c r="N240" i="1"/>
  <c r="N228" i="1"/>
  <c r="N224" i="1"/>
  <c r="N200" i="1"/>
  <c r="N196" i="1"/>
  <c r="N192" i="1"/>
  <c r="N180" i="1"/>
  <c r="N176" i="1"/>
  <c r="N172" i="1"/>
  <c r="N168" i="1"/>
  <c r="N136" i="1"/>
  <c r="N124" i="1"/>
  <c r="N116" i="1"/>
  <c r="N112" i="1"/>
  <c r="N104" i="1"/>
  <c r="N100" i="1"/>
  <c r="N96" i="1"/>
  <c r="N92" i="1"/>
  <c r="N88" i="1"/>
  <c r="N84" i="1"/>
  <c r="N80" i="1"/>
  <c r="N76" i="1"/>
  <c r="N72" i="1"/>
  <c r="N68" i="1"/>
  <c r="N64" i="1"/>
  <c r="N60" i="1"/>
  <c r="N56" i="1"/>
  <c r="N52" i="1"/>
  <c r="N48" i="1"/>
  <c r="N44" i="1"/>
  <c r="N40" i="1"/>
  <c r="N24" i="1"/>
  <c r="N28" i="1"/>
  <c r="N160" i="1"/>
  <c r="N156" i="1"/>
  <c r="N152" i="1"/>
  <c r="N148" i="1"/>
  <c r="N144" i="1"/>
  <c r="N140" i="1"/>
  <c r="N120" i="1"/>
  <c r="N36" i="1"/>
  <c r="N32" i="1"/>
  <c r="N108" i="1"/>
  <c r="N132" i="1"/>
  <c r="N128" i="1"/>
  <c r="N164" i="1"/>
  <c r="N260" i="1"/>
  <c r="N99" i="1"/>
  <c r="N95" i="1"/>
  <c r="N91" i="1"/>
  <c r="N87" i="1"/>
  <c r="N83" i="1"/>
  <c r="N79" i="1"/>
  <c r="N75" i="1"/>
  <c r="N71" i="1"/>
  <c r="N67" i="1"/>
  <c r="N63" i="1"/>
  <c r="N35" i="1"/>
  <c r="N23" i="1"/>
  <c r="N59" i="1"/>
  <c r="N55" i="1"/>
  <c r="N51" i="1"/>
  <c r="N47" i="1"/>
  <c r="N43" i="1"/>
  <c r="N39" i="1"/>
  <c r="N31" i="1"/>
  <c r="N27" i="1"/>
  <c r="N184" i="1"/>
  <c r="N188" i="1"/>
  <c r="N284" i="1"/>
  <c r="N368" i="1"/>
  <c r="N364" i="1"/>
  <c r="N360" i="1"/>
  <c r="N356" i="1"/>
  <c r="N348" i="1"/>
  <c r="N344" i="1"/>
  <c r="N340" i="1"/>
  <c r="N336" i="1"/>
  <c r="N332" i="1"/>
  <c r="N328" i="1"/>
  <c r="N320" i="1"/>
  <c r="N316" i="1"/>
  <c r="N312" i="1"/>
  <c r="N308" i="1"/>
  <c r="N300" i="1"/>
  <c r="N296" i="1"/>
  <c r="N292" i="1"/>
  <c r="N288" i="1"/>
  <c r="N276" i="1"/>
  <c r="N268" i="1"/>
  <c r="N264" i="1"/>
  <c r="N252" i="1"/>
  <c r="N244" i="1"/>
  <c r="N236" i="1"/>
  <c r="N232" i="1"/>
  <c r="N220" i="1"/>
  <c r="N216" i="1"/>
  <c r="N212" i="1"/>
  <c r="N208" i="1"/>
  <c r="N204" i="1"/>
  <c r="N315" i="1"/>
  <c r="N311" i="1"/>
  <c r="N307" i="1"/>
  <c r="N303" i="1"/>
  <c r="N299" i="1"/>
  <c r="N295" i="1"/>
  <c r="N291" i="1"/>
  <c r="N287" i="1"/>
  <c r="N283" i="1"/>
  <c r="N279" i="1"/>
  <c r="N275" i="1"/>
  <c r="N271" i="1"/>
  <c r="N267" i="1"/>
  <c r="N263" i="1"/>
  <c r="N259" i="1"/>
  <c r="N255" i="1"/>
  <c r="N251" i="1"/>
  <c r="N247" i="1"/>
  <c r="N243" i="1"/>
  <c r="N239" i="1"/>
  <c r="N235" i="1"/>
  <c r="N231" i="1"/>
  <c r="N227" i="1"/>
  <c r="N223" i="1"/>
  <c r="N219" i="1"/>
  <c r="N215" i="1"/>
  <c r="N211" i="1"/>
  <c r="N207" i="1"/>
  <c r="N203" i="1"/>
  <c r="N199" i="1"/>
  <c r="N195" i="1"/>
  <c r="N191" i="1"/>
  <c r="N187" i="1"/>
  <c r="N183" i="1"/>
  <c r="N179" i="1"/>
  <c r="N175" i="1"/>
  <c r="N171" i="1"/>
  <c r="N167" i="1"/>
  <c r="N163" i="1"/>
  <c r="N159" i="1"/>
  <c r="N155" i="1"/>
  <c r="N151" i="1"/>
  <c r="N147" i="1"/>
  <c r="N143" i="1"/>
  <c r="N139" i="1"/>
  <c r="N135" i="1"/>
  <c r="N131" i="1"/>
  <c r="N127" i="1"/>
  <c r="N123" i="1"/>
  <c r="N119" i="1"/>
  <c r="N115" i="1"/>
  <c r="N111" i="1"/>
  <c r="N107" i="1"/>
  <c r="V32" i="1"/>
  <c r="V28" i="1"/>
  <c r="V2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69" i="1"/>
  <c r="V365" i="1"/>
  <c r="V361" i="1"/>
  <c r="V357" i="1"/>
  <c r="V353" i="1"/>
  <c r="V349" i="1"/>
  <c r="V345" i="1"/>
  <c r="V341" i="1"/>
  <c r="V337" i="1"/>
  <c r="V333" i="1"/>
  <c r="V329" i="1"/>
  <c r="V325" i="1"/>
  <c r="V321" i="1"/>
  <c r="V317" i="1"/>
  <c r="V200" i="1"/>
  <c r="V196" i="1"/>
  <c r="V192" i="1"/>
  <c r="V188" i="1"/>
  <c r="V184" i="1"/>
  <c r="V180" i="1"/>
  <c r="V176" i="1"/>
  <c r="V172" i="1"/>
  <c r="V168" i="1"/>
  <c r="V164" i="1"/>
  <c r="V160" i="1"/>
  <c r="V156" i="1"/>
  <c r="V152" i="1"/>
  <c r="V148" i="1"/>
  <c r="V144" i="1"/>
  <c r="V140" i="1"/>
  <c r="V136" i="1"/>
  <c r="V132" i="1"/>
  <c r="V128" i="1"/>
  <c r="V124" i="1"/>
  <c r="V120" i="1"/>
  <c r="V116" i="1"/>
  <c r="V112" i="1"/>
  <c r="V108" i="1"/>
  <c r="V104" i="1"/>
  <c r="V97" i="1"/>
  <c r="V91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N367" i="1"/>
  <c r="N363" i="1"/>
  <c r="N359" i="1"/>
  <c r="N355" i="1"/>
  <c r="N351" i="1"/>
  <c r="N347" i="1"/>
  <c r="N343" i="1"/>
  <c r="N339" i="1"/>
  <c r="N335" i="1"/>
  <c r="N331" i="1"/>
  <c r="N327" i="1"/>
  <c r="N323" i="1"/>
  <c r="N319" i="1"/>
  <c r="N369" i="1"/>
  <c r="N365" i="1"/>
  <c r="N361" i="1"/>
  <c r="N357" i="1"/>
  <c r="N353" i="1"/>
  <c r="N349" i="1"/>
  <c r="N345" i="1"/>
  <c r="N341" i="1"/>
  <c r="N337" i="1"/>
  <c r="N333" i="1"/>
  <c r="N329" i="1"/>
  <c r="N325" i="1"/>
  <c r="N321" i="1"/>
  <c r="N317" i="1"/>
  <c r="N313" i="1"/>
  <c r="N309" i="1"/>
  <c r="N305" i="1"/>
  <c r="N301" i="1"/>
  <c r="N297" i="1"/>
  <c r="N293" i="1"/>
  <c r="N289" i="1"/>
  <c r="N285" i="1"/>
  <c r="N281" i="1"/>
  <c r="N277" i="1"/>
  <c r="N273" i="1"/>
  <c r="N269" i="1"/>
  <c r="N265" i="1"/>
  <c r="N261" i="1"/>
  <c r="N257" i="1"/>
  <c r="N253" i="1"/>
  <c r="N249" i="1"/>
  <c r="N245" i="1"/>
  <c r="N241" i="1"/>
  <c r="N237" i="1"/>
  <c r="N233" i="1"/>
  <c r="N229" i="1"/>
  <c r="N225" i="1"/>
  <c r="N221" i="1"/>
  <c r="N217" i="1"/>
  <c r="N213" i="1"/>
  <c r="N209" i="1"/>
  <c r="N205" i="1"/>
  <c r="N201" i="1"/>
  <c r="N197" i="1"/>
  <c r="N193" i="1"/>
  <c r="N189" i="1"/>
  <c r="N185" i="1"/>
  <c r="N181" i="1"/>
  <c r="N177" i="1"/>
  <c r="N173" i="1"/>
  <c r="N169" i="1"/>
  <c r="N165" i="1"/>
  <c r="N161" i="1"/>
  <c r="N157" i="1"/>
  <c r="N153" i="1"/>
  <c r="N149" i="1"/>
  <c r="N145" i="1"/>
  <c r="N141" i="1"/>
  <c r="N137" i="1"/>
  <c r="N133" i="1"/>
  <c r="N129" i="1"/>
  <c r="N125" i="1"/>
  <c r="N121" i="1"/>
  <c r="N117" i="1"/>
  <c r="N113" i="1"/>
  <c r="N109" i="1"/>
  <c r="N105" i="1"/>
  <c r="N101" i="1"/>
  <c r="N97" i="1"/>
  <c r="N93" i="1"/>
  <c r="N89" i="1"/>
  <c r="N85" i="1"/>
  <c r="N81" i="1"/>
  <c r="N77" i="1"/>
  <c r="N73" i="1"/>
  <c r="N69" i="1"/>
  <c r="N65" i="1"/>
  <c r="N61" i="1"/>
  <c r="N57" i="1"/>
  <c r="N53" i="1"/>
  <c r="N49" i="1"/>
  <c r="N45" i="1"/>
  <c r="N41" i="1"/>
  <c r="N37" i="1"/>
  <c r="N33" i="1"/>
  <c r="N29" i="1"/>
  <c r="N25" i="1"/>
  <c r="N21" i="1"/>
  <c r="R10" i="1"/>
  <c r="V310" i="1"/>
  <c r="V306" i="1"/>
  <c r="V302" i="1"/>
  <c r="V298" i="1"/>
  <c r="V294" i="1"/>
  <c r="V290" i="1"/>
  <c r="V286" i="1"/>
  <c r="V282" i="1"/>
  <c r="V278" i="1"/>
  <c r="V274" i="1"/>
  <c r="V270" i="1"/>
  <c r="V266" i="1"/>
  <c r="V262" i="1"/>
  <c r="V259" i="1"/>
  <c r="V255" i="1"/>
  <c r="V251" i="1"/>
  <c r="V247" i="1"/>
  <c r="V243" i="1"/>
  <c r="V239" i="1"/>
  <c r="V235" i="1"/>
  <c r="V231" i="1"/>
  <c r="V227" i="1"/>
  <c r="V223" i="1"/>
  <c r="V219" i="1"/>
  <c r="V215" i="1"/>
  <c r="V211" i="1"/>
  <c r="V207" i="1"/>
  <c r="V203" i="1"/>
  <c r="AK368" i="1"/>
  <c r="AK364" i="1"/>
  <c r="AK360" i="1"/>
  <c r="AK356" i="1"/>
  <c r="AK352" i="1"/>
  <c r="AK348" i="1"/>
  <c r="AK344" i="1"/>
  <c r="AK340" i="1"/>
  <c r="AK336" i="1"/>
  <c r="AK332" i="1"/>
  <c r="AK328" i="1"/>
  <c r="AK324" i="1"/>
  <c r="AK320" i="1"/>
  <c r="AK316" i="1"/>
  <c r="AK312" i="1"/>
  <c r="AK308" i="1"/>
  <c r="AK304" i="1"/>
  <c r="AK300" i="1"/>
  <c r="AK296" i="1"/>
  <c r="AK292" i="1"/>
  <c r="AK288" i="1"/>
  <c r="AK284" i="1"/>
  <c r="AK280" i="1"/>
  <c r="AK276" i="1"/>
  <c r="AK272" i="1"/>
  <c r="AK268" i="1"/>
  <c r="AK264" i="1"/>
  <c r="AK260" i="1"/>
  <c r="AK256" i="1"/>
  <c r="AK252" i="1"/>
  <c r="AK248" i="1"/>
  <c r="AK244" i="1"/>
  <c r="AK240" i="1"/>
  <c r="AK236" i="1"/>
  <c r="AK232" i="1"/>
  <c r="AK228" i="1"/>
  <c r="AK224" i="1"/>
  <c r="AK220" i="1"/>
  <c r="N103" i="1"/>
  <c r="V31" i="1"/>
  <c r="V27" i="1"/>
  <c r="V23" i="1"/>
  <c r="V368" i="1"/>
  <c r="V364" i="1"/>
  <c r="V360" i="1"/>
  <c r="V356" i="1"/>
  <c r="V352" i="1"/>
  <c r="V348" i="1"/>
  <c r="V344" i="1"/>
  <c r="V340" i="1"/>
  <c r="V336" i="1"/>
  <c r="V332" i="1"/>
  <c r="N20" i="1"/>
  <c r="N366" i="1"/>
  <c r="N362" i="1"/>
  <c r="N358" i="1"/>
  <c r="N354" i="1"/>
  <c r="N350" i="1"/>
  <c r="N346" i="1"/>
  <c r="N342" i="1"/>
  <c r="N338" i="1"/>
  <c r="N334" i="1"/>
  <c r="N330" i="1"/>
  <c r="N326" i="1"/>
  <c r="N322" i="1"/>
  <c r="N318" i="1"/>
  <c r="N314" i="1"/>
  <c r="N310" i="1"/>
  <c r="N306" i="1"/>
  <c r="N302" i="1"/>
  <c r="N298" i="1"/>
  <c r="N294" i="1"/>
  <c r="N290" i="1"/>
  <c r="N286" i="1"/>
  <c r="N282" i="1"/>
  <c r="N278" i="1"/>
  <c r="N274" i="1"/>
  <c r="N270" i="1"/>
  <c r="N266" i="1"/>
  <c r="N262" i="1"/>
  <c r="N258" i="1"/>
  <c r="N254" i="1"/>
  <c r="N250" i="1"/>
  <c r="N246" i="1"/>
  <c r="N242" i="1"/>
  <c r="N238" i="1"/>
  <c r="N234" i="1"/>
  <c r="N230" i="1"/>
  <c r="N226" i="1"/>
  <c r="N222" i="1"/>
  <c r="N218" i="1"/>
  <c r="N214" i="1"/>
  <c r="N210" i="1"/>
  <c r="N206" i="1"/>
  <c r="N202" i="1"/>
  <c r="N198" i="1"/>
  <c r="N194" i="1"/>
  <c r="N190" i="1"/>
  <c r="N186" i="1"/>
  <c r="N182" i="1"/>
  <c r="N178" i="1"/>
  <c r="N174" i="1"/>
  <c r="N170" i="1"/>
  <c r="N166" i="1"/>
  <c r="N162" i="1"/>
  <c r="N158" i="1"/>
  <c r="N154" i="1"/>
  <c r="N150" i="1"/>
  <c r="N146" i="1"/>
  <c r="N142" i="1"/>
  <c r="N138" i="1"/>
  <c r="N134" i="1"/>
  <c r="N130" i="1"/>
  <c r="N126" i="1"/>
  <c r="N122" i="1"/>
  <c r="N118" i="1"/>
  <c r="N114" i="1"/>
  <c r="N110" i="1"/>
  <c r="N106" i="1"/>
  <c r="N102" i="1"/>
  <c r="N98" i="1"/>
  <c r="N94" i="1"/>
  <c r="N90" i="1"/>
  <c r="N86" i="1"/>
  <c r="N82" i="1"/>
  <c r="N78" i="1"/>
  <c r="N74" i="1"/>
  <c r="N70" i="1"/>
  <c r="N66" i="1"/>
  <c r="N62" i="1"/>
  <c r="N58" i="1"/>
  <c r="N54" i="1"/>
  <c r="N50" i="1"/>
  <c r="N46" i="1"/>
  <c r="N42" i="1"/>
  <c r="N38" i="1"/>
  <c r="N34" i="1"/>
  <c r="N30" i="1"/>
  <c r="N26" i="1"/>
  <c r="N22" i="1"/>
  <c r="V20" i="1"/>
  <c r="V30" i="1"/>
  <c r="V26" i="1"/>
  <c r="V22" i="1"/>
  <c r="V367" i="1"/>
  <c r="V33" i="1"/>
  <c r="V29" i="1"/>
  <c r="V25" i="1"/>
  <c r="V21" i="1"/>
  <c r="V366" i="1"/>
  <c r="V362" i="1"/>
  <c r="V358" i="1"/>
  <c r="AK216" i="1"/>
  <c r="AK212" i="1"/>
  <c r="AK208" i="1"/>
  <c r="AK204" i="1"/>
  <c r="AK200" i="1"/>
  <c r="AK196" i="1"/>
  <c r="AK192" i="1"/>
  <c r="AK188" i="1"/>
  <c r="AK184" i="1"/>
  <c r="AK180" i="1"/>
  <c r="AK176" i="1"/>
  <c r="AK172" i="1"/>
  <c r="AK168" i="1"/>
  <c r="AK164" i="1"/>
  <c r="AK160" i="1"/>
  <c r="AK156" i="1"/>
  <c r="AK152" i="1"/>
  <c r="AK148" i="1"/>
  <c r="AK144" i="1"/>
  <c r="AK140" i="1"/>
  <c r="AK136" i="1"/>
  <c r="AK132" i="1"/>
  <c r="AK128" i="1"/>
  <c r="AK124" i="1"/>
  <c r="AK120" i="1"/>
  <c r="AK116" i="1"/>
  <c r="AK112" i="1"/>
  <c r="AK108" i="1"/>
  <c r="AK104" i="1"/>
  <c r="AK100" i="1"/>
  <c r="AK96" i="1"/>
  <c r="AK92" i="1"/>
  <c r="AK88" i="1"/>
  <c r="AK84" i="1"/>
  <c r="AK80" i="1"/>
  <c r="AK76" i="1"/>
  <c r="AK72" i="1"/>
  <c r="AK68" i="1"/>
  <c r="AK64" i="1"/>
  <c r="AK60" i="1"/>
  <c r="AK56" i="1"/>
  <c r="AK52" i="1"/>
  <c r="AK48" i="1"/>
  <c r="AK44" i="1"/>
  <c r="AK40" i="1"/>
  <c r="AK36" i="1"/>
  <c r="AK32" i="1"/>
  <c r="AK28" i="1"/>
  <c r="AK24" i="1"/>
  <c r="V328" i="1"/>
  <c r="V324" i="1"/>
  <c r="V320" i="1"/>
  <c r="V316" i="1"/>
  <c r="V313" i="1"/>
  <c r="V309" i="1"/>
  <c r="V305" i="1"/>
  <c r="V301" i="1"/>
  <c r="V297" i="1"/>
  <c r="V293" i="1"/>
  <c r="V289" i="1"/>
  <c r="V285" i="1"/>
  <c r="V281" i="1"/>
  <c r="V277" i="1"/>
  <c r="V273" i="1"/>
  <c r="V269" i="1"/>
  <c r="V265" i="1"/>
  <c r="V261" i="1"/>
  <c r="V258" i="1"/>
  <c r="V254" i="1"/>
  <c r="V250" i="1"/>
  <c r="V246" i="1"/>
  <c r="V242" i="1"/>
  <c r="V238" i="1"/>
  <c r="V234" i="1"/>
  <c r="V230" i="1"/>
  <c r="V226" i="1"/>
  <c r="V222" i="1"/>
  <c r="V218" i="1"/>
  <c r="V214" i="1"/>
  <c r="V210" i="1"/>
  <c r="V206" i="1"/>
  <c r="V202" i="1"/>
  <c r="V199" i="1"/>
  <c r="V195" i="1"/>
  <c r="V191" i="1"/>
  <c r="V187" i="1"/>
  <c r="V183" i="1"/>
  <c r="V179" i="1"/>
  <c r="V175" i="1"/>
  <c r="V171" i="1"/>
  <c r="V167" i="1"/>
  <c r="V163" i="1"/>
  <c r="V159" i="1"/>
  <c r="V155" i="1"/>
  <c r="V151" i="1"/>
  <c r="V147" i="1"/>
  <c r="V143" i="1"/>
  <c r="V139" i="1"/>
  <c r="V135" i="1"/>
  <c r="V131" i="1"/>
  <c r="V127" i="1"/>
  <c r="V123" i="1"/>
  <c r="V119" i="1"/>
  <c r="V115" i="1"/>
  <c r="V111" i="1"/>
  <c r="V107" i="1"/>
  <c r="V103" i="1"/>
  <c r="V100" i="1"/>
  <c r="V96" i="1"/>
  <c r="V93" i="1"/>
  <c r="V34" i="1"/>
  <c r="AK367" i="1"/>
  <c r="AK363" i="1"/>
  <c r="AK359" i="1"/>
  <c r="AK355" i="1"/>
  <c r="AK351" i="1"/>
  <c r="AK347" i="1"/>
  <c r="AK343" i="1"/>
  <c r="AK339" i="1"/>
  <c r="AK335" i="1"/>
  <c r="AK331" i="1"/>
  <c r="AK327" i="1"/>
  <c r="AK323" i="1"/>
  <c r="AK319" i="1"/>
  <c r="AK315" i="1"/>
  <c r="AK311" i="1"/>
  <c r="AK307" i="1"/>
  <c r="AK303" i="1"/>
  <c r="AK299" i="1"/>
  <c r="AK295" i="1"/>
  <c r="AK291" i="1"/>
  <c r="AK287" i="1"/>
  <c r="AK283" i="1"/>
  <c r="AK279" i="1"/>
  <c r="AK275" i="1"/>
  <c r="AK271" i="1"/>
  <c r="AK267" i="1"/>
  <c r="AK263" i="1"/>
  <c r="AK259" i="1"/>
  <c r="AK255" i="1"/>
  <c r="AK251" i="1"/>
  <c r="AK247" i="1"/>
  <c r="AK243" i="1"/>
  <c r="AK239" i="1"/>
  <c r="AK235" i="1"/>
  <c r="AK231" i="1"/>
  <c r="AK227" i="1"/>
  <c r="AK223" i="1"/>
  <c r="AK219" i="1"/>
  <c r="AK215" i="1"/>
  <c r="AK211" i="1"/>
  <c r="AK207" i="1"/>
  <c r="AK203" i="1"/>
  <c r="AK199" i="1"/>
  <c r="AK195" i="1"/>
  <c r="AK191" i="1"/>
  <c r="AK187" i="1"/>
  <c r="AK183" i="1"/>
  <c r="AK179" i="1"/>
  <c r="AK175" i="1"/>
  <c r="AK171" i="1"/>
  <c r="AK167" i="1"/>
  <c r="AK163" i="1"/>
  <c r="AK159" i="1"/>
  <c r="AK155" i="1"/>
  <c r="AK151" i="1"/>
  <c r="AK147" i="1"/>
  <c r="AK143" i="1"/>
  <c r="AK139" i="1"/>
  <c r="AK135" i="1"/>
  <c r="AK131" i="1"/>
  <c r="AK127" i="1"/>
  <c r="AK123" i="1"/>
  <c r="AK119" i="1"/>
  <c r="AK115" i="1"/>
  <c r="AK111" i="1"/>
  <c r="AK107" i="1"/>
  <c r="AK103" i="1"/>
  <c r="AK99" i="1"/>
  <c r="AK95" i="1"/>
  <c r="AK91" i="1"/>
  <c r="AK87" i="1"/>
  <c r="AK83" i="1"/>
  <c r="AK79" i="1"/>
  <c r="AK75" i="1"/>
  <c r="AK71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V363" i="1"/>
  <c r="V359" i="1"/>
  <c r="V355" i="1"/>
  <c r="V351" i="1"/>
  <c r="V347" i="1"/>
  <c r="V343" i="1"/>
  <c r="V339" i="1"/>
  <c r="V335" i="1"/>
  <c r="V331" i="1"/>
  <c r="V327" i="1"/>
  <c r="V323" i="1"/>
  <c r="V319" i="1"/>
  <c r="V315" i="1"/>
  <c r="V312" i="1"/>
  <c r="V308" i="1"/>
  <c r="V304" i="1"/>
  <c r="V300" i="1"/>
  <c r="V296" i="1"/>
  <c r="V292" i="1"/>
  <c r="V288" i="1"/>
  <c r="V284" i="1"/>
  <c r="V280" i="1"/>
  <c r="V276" i="1"/>
  <c r="V272" i="1"/>
  <c r="V268" i="1"/>
  <c r="V264" i="1"/>
  <c r="V257" i="1"/>
  <c r="V253" i="1"/>
  <c r="V249" i="1"/>
  <c r="V245" i="1"/>
  <c r="V241" i="1"/>
  <c r="V237" i="1"/>
  <c r="V233" i="1"/>
  <c r="V229" i="1"/>
  <c r="V225" i="1"/>
  <c r="V221" i="1"/>
  <c r="V217" i="1"/>
  <c r="V213" i="1"/>
  <c r="V209" i="1"/>
  <c r="V205" i="1"/>
  <c r="V198" i="1"/>
  <c r="V194" i="1"/>
  <c r="V190" i="1"/>
  <c r="V186" i="1"/>
  <c r="V182" i="1"/>
  <c r="V178" i="1"/>
  <c r="V174" i="1"/>
  <c r="V170" i="1"/>
  <c r="V166" i="1"/>
  <c r="V162" i="1"/>
  <c r="V158" i="1"/>
  <c r="V154" i="1"/>
  <c r="V150" i="1"/>
  <c r="V146" i="1"/>
  <c r="V142" i="1"/>
  <c r="V138" i="1"/>
  <c r="V134" i="1"/>
  <c r="V130" i="1"/>
  <c r="V126" i="1"/>
  <c r="V122" i="1"/>
  <c r="V118" i="1"/>
  <c r="V114" i="1"/>
  <c r="V110" i="1"/>
  <c r="V106" i="1"/>
  <c r="V102" i="1"/>
  <c r="V99" i="1"/>
  <c r="V95" i="1"/>
  <c r="AK20" i="1"/>
  <c r="AK366" i="1"/>
  <c r="AK362" i="1"/>
  <c r="AK358" i="1"/>
  <c r="AK354" i="1"/>
  <c r="AK350" i="1"/>
  <c r="AK346" i="1"/>
  <c r="AK342" i="1"/>
  <c r="AK338" i="1"/>
  <c r="AK334" i="1"/>
  <c r="AK330" i="1"/>
  <c r="AK326" i="1"/>
  <c r="AK322" i="1"/>
  <c r="AK318" i="1"/>
  <c r="AK314" i="1"/>
  <c r="AK310" i="1"/>
  <c r="AK306" i="1"/>
  <c r="AK302" i="1"/>
  <c r="AK298" i="1"/>
  <c r="AK294" i="1"/>
  <c r="AK290" i="1"/>
  <c r="AK286" i="1"/>
  <c r="AK282" i="1"/>
  <c r="AK278" i="1"/>
  <c r="AK274" i="1"/>
  <c r="AK270" i="1"/>
  <c r="AK266" i="1"/>
  <c r="AK262" i="1"/>
  <c r="AK258" i="1"/>
  <c r="AK254" i="1"/>
  <c r="AK250" i="1"/>
  <c r="AK246" i="1"/>
  <c r="AK242" i="1"/>
  <c r="AK238" i="1"/>
  <c r="AK234" i="1"/>
  <c r="AK230" i="1"/>
  <c r="AK226" i="1"/>
  <c r="AK222" i="1"/>
  <c r="AK218" i="1"/>
  <c r="AK214" i="1"/>
  <c r="AK210" i="1"/>
  <c r="AK206" i="1"/>
  <c r="AK202" i="1"/>
  <c r="AK198" i="1"/>
  <c r="AK194" i="1"/>
  <c r="AK190" i="1"/>
  <c r="AK186" i="1"/>
  <c r="AK182" i="1"/>
  <c r="AK178" i="1"/>
  <c r="AK174" i="1"/>
  <c r="AK170" i="1"/>
  <c r="AK166" i="1"/>
  <c r="AK162" i="1"/>
  <c r="AK158" i="1"/>
  <c r="AK154" i="1"/>
  <c r="AK150" i="1"/>
  <c r="AK146" i="1"/>
  <c r="AK142" i="1"/>
  <c r="AK138" i="1"/>
  <c r="AK134" i="1"/>
  <c r="AK130" i="1"/>
  <c r="AK126" i="1"/>
  <c r="AK122" i="1"/>
  <c r="AK118" i="1"/>
  <c r="AK114" i="1"/>
  <c r="AK110" i="1"/>
  <c r="AK106" i="1"/>
  <c r="AK102" i="1"/>
  <c r="AK98" i="1"/>
  <c r="AK94" i="1"/>
  <c r="AK90" i="1"/>
  <c r="AK86" i="1"/>
  <c r="AK82" i="1"/>
  <c r="AK78" i="1"/>
  <c r="AK74" i="1"/>
  <c r="AK70" i="1"/>
  <c r="AK66" i="1"/>
  <c r="AK62" i="1"/>
  <c r="AK58" i="1"/>
  <c r="AK54" i="1"/>
  <c r="AK50" i="1"/>
  <c r="AK46" i="1"/>
  <c r="AK42" i="1"/>
  <c r="AK38" i="1"/>
  <c r="AK34" i="1"/>
  <c r="AK30" i="1"/>
  <c r="AK26" i="1"/>
  <c r="AK22" i="1"/>
  <c r="V354" i="1"/>
  <c r="V350" i="1"/>
  <c r="V346" i="1"/>
  <c r="V342" i="1"/>
  <c r="V338" i="1"/>
  <c r="V334" i="1"/>
  <c r="V330" i="1"/>
  <c r="V326" i="1"/>
  <c r="V322" i="1"/>
  <c r="V318" i="1"/>
  <c r="V314" i="1"/>
  <c r="V311" i="1"/>
  <c r="V307" i="1"/>
  <c r="V303" i="1"/>
  <c r="V299" i="1"/>
  <c r="V295" i="1"/>
  <c r="V291" i="1"/>
  <c r="V287" i="1"/>
  <c r="V283" i="1"/>
  <c r="V279" i="1"/>
  <c r="V275" i="1"/>
  <c r="V271" i="1"/>
  <c r="V267" i="1"/>
  <c r="V263" i="1"/>
  <c r="V260" i="1"/>
  <c r="V256" i="1"/>
  <c r="V252" i="1"/>
  <c r="V248" i="1"/>
  <c r="V244" i="1"/>
  <c r="V240" i="1"/>
  <c r="V236" i="1"/>
  <c r="V232" i="1"/>
  <c r="V228" i="1"/>
  <c r="V224" i="1"/>
  <c r="V220" i="1"/>
  <c r="V216" i="1"/>
  <c r="V212" i="1"/>
  <c r="V208" i="1"/>
  <c r="V204" i="1"/>
  <c r="V201" i="1"/>
  <c r="V197" i="1"/>
  <c r="V193" i="1"/>
  <c r="V189" i="1"/>
  <c r="V185" i="1"/>
  <c r="V181" i="1"/>
  <c r="V177" i="1"/>
  <c r="V173" i="1"/>
  <c r="V169" i="1"/>
  <c r="V165" i="1"/>
  <c r="V161" i="1"/>
  <c r="V157" i="1"/>
  <c r="V153" i="1"/>
  <c r="V149" i="1"/>
  <c r="V145" i="1"/>
  <c r="V141" i="1"/>
  <c r="V137" i="1"/>
  <c r="V133" i="1"/>
  <c r="V129" i="1"/>
  <c r="V125" i="1"/>
  <c r="V121" i="1"/>
  <c r="V117" i="1"/>
  <c r="V113" i="1"/>
  <c r="V109" i="1"/>
  <c r="V105" i="1"/>
  <c r="V101" i="1"/>
  <c r="V98" i="1"/>
  <c r="V94" i="1"/>
  <c r="V92" i="1"/>
  <c r="AK369" i="1"/>
  <c r="AK365" i="1"/>
  <c r="AK361" i="1"/>
  <c r="AK357" i="1"/>
  <c r="AK353" i="1"/>
  <c r="AK349" i="1"/>
  <c r="AK345" i="1"/>
  <c r="AK341" i="1"/>
  <c r="AK337" i="1"/>
  <c r="AK333" i="1"/>
  <c r="AK329" i="1"/>
  <c r="AK325" i="1"/>
  <c r="AK321" i="1"/>
  <c r="AK317" i="1"/>
  <c r="AK313" i="1"/>
  <c r="AK309" i="1"/>
  <c r="AK305" i="1"/>
  <c r="AK301" i="1"/>
  <c r="AK297" i="1"/>
  <c r="AK293" i="1"/>
  <c r="AK289" i="1"/>
  <c r="AK285" i="1"/>
  <c r="AK281" i="1"/>
  <c r="AK277" i="1"/>
  <c r="AK273" i="1"/>
  <c r="AK269" i="1"/>
  <c r="AK265" i="1"/>
  <c r="AK261" i="1"/>
  <c r="AK257" i="1"/>
  <c r="AK253" i="1"/>
  <c r="AK249" i="1"/>
  <c r="AK245" i="1"/>
  <c r="AK241" i="1"/>
  <c r="AK237" i="1"/>
  <c r="AK233" i="1"/>
  <c r="AK229" i="1"/>
  <c r="AK225" i="1"/>
  <c r="AK221" i="1"/>
  <c r="AK217" i="1"/>
  <c r="AK213" i="1"/>
  <c r="AK209" i="1"/>
  <c r="AK205" i="1"/>
  <c r="AK201" i="1"/>
  <c r="AK197" i="1"/>
  <c r="AK193" i="1"/>
  <c r="AK189" i="1"/>
  <c r="AK185" i="1"/>
  <c r="AK181" i="1"/>
  <c r="AK177" i="1"/>
  <c r="AK173" i="1"/>
  <c r="AK169" i="1"/>
  <c r="AK165" i="1"/>
  <c r="AK161" i="1"/>
  <c r="AK157" i="1"/>
  <c r="AK153" i="1"/>
  <c r="AK149" i="1"/>
  <c r="AK145" i="1"/>
  <c r="AK141" i="1"/>
  <c r="AK137" i="1"/>
  <c r="AK133" i="1"/>
  <c r="AK129" i="1"/>
  <c r="AK125" i="1"/>
  <c r="AK121" i="1"/>
  <c r="AK117" i="1"/>
  <c r="AK113" i="1"/>
  <c r="AK109" i="1"/>
  <c r="AK105" i="1"/>
  <c r="AK101" i="1"/>
  <c r="AK97" i="1"/>
  <c r="AK93" i="1"/>
  <c r="AK89" i="1"/>
  <c r="AK85" i="1"/>
  <c r="AK81" i="1"/>
  <c r="AK77" i="1"/>
  <c r="AK73" i="1"/>
  <c r="AK69" i="1"/>
  <c r="AK65" i="1"/>
  <c r="AK61" i="1"/>
  <c r="AK57" i="1"/>
  <c r="AK53" i="1"/>
  <c r="AK49" i="1"/>
  <c r="AK45" i="1"/>
  <c r="AK41" i="1"/>
  <c r="AK37" i="1"/>
  <c r="AK33" i="1"/>
  <c r="AK29" i="1"/>
  <c r="AK25" i="1"/>
  <c r="AK21" i="1"/>
  <c r="Z15" i="1" l="1"/>
  <c r="Z16" i="1"/>
  <c r="AG14" i="1"/>
  <c r="J14" i="1"/>
  <c r="Z12" i="1"/>
  <c r="AN30" i="1"/>
  <c r="AN46" i="1"/>
  <c r="AN34" i="1"/>
  <c r="AN50" i="1"/>
  <c r="AN22" i="1"/>
  <c r="AN38" i="1"/>
  <c r="AN54" i="1"/>
  <c r="AN26" i="1"/>
  <c r="AN42" i="1"/>
  <c r="AN66" i="1"/>
  <c r="AN82" i="1"/>
  <c r="AN98" i="1"/>
  <c r="AN114" i="1"/>
  <c r="AN130" i="1"/>
  <c r="AN146" i="1"/>
  <c r="AN162" i="1"/>
  <c r="AN178" i="1"/>
  <c r="AN194" i="1"/>
  <c r="AN210" i="1"/>
  <c r="AN226" i="1"/>
  <c r="AN242" i="1"/>
  <c r="AN258" i="1"/>
  <c r="AN274" i="1"/>
  <c r="AN290" i="1"/>
  <c r="AN306" i="1"/>
  <c r="AN322" i="1"/>
  <c r="AN338" i="1"/>
  <c r="AN354" i="1"/>
  <c r="AN20" i="1"/>
  <c r="AN29" i="1"/>
  <c r="AN45" i="1"/>
  <c r="AN61" i="1"/>
  <c r="AN77" i="1"/>
  <c r="AN93" i="1"/>
  <c r="AN109" i="1"/>
  <c r="AN125" i="1"/>
  <c r="AN141" i="1"/>
  <c r="AN157" i="1"/>
  <c r="AN173" i="1"/>
  <c r="AN189" i="1"/>
  <c r="AN205" i="1"/>
  <c r="AN221" i="1"/>
  <c r="AN237" i="1"/>
  <c r="AN253" i="1"/>
  <c r="AN269" i="1"/>
  <c r="AN285" i="1"/>
  <c r="AN301" i="1"/>
  <c r="AN317" i="1"/>
  <c r="AN333" i="1"/>
  <c r="AN349" i="1"/>
  <c r="AN365" i="1"/>
  <c r="AN327" i="1"/>
  <c r="AN343" i="1"/>
  <c r="AN359" i="1"/>
  <c r="AN111" i="1"/>
  <c r="AN127" i="1"/>
  <c r="AN143" i="1"/>
  <c r="AN159" i="1"/>
  <c r="AN175" i="1"/>
  <c r="AN191" i="1"/>
  <c r="AN207" i="1"/>
  <c r="AN223" i="1"/>
  <c r="AN239" i="1"/>
  <c r="AN255" i="1"/>
  <c r="AN271" i="1"/>
  <c r="AN287" i="1"/>
  <c r="AN303" i="1"/>
  <c r="AN204" i="1"/>
  <c r="AN220" i="1"/>
  <c r="AN252" i="1"/>
  <c r="AN288" i="1"/>
  <c r="AN308" i="1"/>
  <c r="AN328" i="1"/>
  <c r="AN344" i="1"/>
  <c r="AN364" i="1"/>
  <c r="AN184" i="1"/>
  <c r="AN43" i="1"/>
  <c r="AN59" i="1"/>
  <c r="AN67" i="1"/>
  <c r="AN83" i="1"/>
  <c r="AN99" i="1"/>
  <c r="AN132" i="1"/>
  <c r="AN120" i="1"/>
  <c r="AN152" i="1"/>
  <c r="AN24" i="1"/>
  <c r="AN52" i="1"/>
  <c r="AN68" i="1"/>
  <c r="AN84" i="1"/>
  <c r="AN100" i="1"/>
  <c r="AN124" i="1"/>
  <c r="AN176" i="1"/>
  <c r="AN200" i="1"/>
  <c r="AN248" i="1"/>
  <c r="AN304" i="1"/>
  <c r="AN70" i="1"/>
  <c r="AN86" i="1"/>
  <c r="AN102" i="1"/>
  <c r="AN118" i="1"/>
  <c r="AN134" i="1"/>
  <c r="AN150" i="1"/>
  <c r="AN166" i="1"/>
  <c r="AN182" i="1"/>
  <c r="AN198" i="1"/>
  <c r="AN214" i="1"/>
  <c r="AN230" i="1"/>
  <c r="AN246" i="1"/>
  <c r="AN262" i="1"/>
  <c r="AN278" i="1"/>
  <c r="AN294" i="1"/>
  <c r="AN310" i="1"/>
  <c r="AN326" i="1"/>
  <c r="AN342" i="1"/>
  <c r="AN358" i="1"/>
  <c r="AN33" i="1"/>
  <c r="AN49" i="1"/>
  <c r="AN65" i="1"/>
  <c r="AN81" i="1"/>
  <c r="AN97" i="1"/>
  <c r="AN113" i="1"/>
  <c r="AN129" i="1"/>
  <c r="AN145" i="1"/>
  <c r="AN161" i="1"/>
  <c r="AN177" i="1"/>
  <c r="AN193" i="1"/>
  <c r="AN209" i="1"/>
  <c r="AN225" i="1"/>
  <c r="AN241" i="1"/>
  <c r="AN257" i="1"/>
  <c r="AN273" i="1"/>
  <c r="AN289" i="1"/>
  <c r="AN305" i="1"/>
  <c r="AN321" i="1"/>
  <c r="AN337" i="1"/>
  <c r="AN353" i="1"/>
  <c r="AN369" i="1"/>
  <c r="AN331" i="1"/>
  <c r="AN347" i="1"/>
  <c r="AN363" i="1"/>
  <c r="AN115" i="1"/>
  <c r="AN131" i="1"/>
  <c r="AN147" i="1"/>
  <c r="AN163" i="1"/>
  <c r="AN179" i="1"/>
  <c r="AN195" i="1"/>
  <c r="AN211" i="1"/>
  <c r="AN227" i="1"/>
  <c r="AN243" i="1"/>
  <c r="AN259" i="1"/>
  <c r="AN275" i="1"/>
  <c r="AN291" i="1"/>
  <c r="AN307" i="1"/>
  <c r="AN208" i="1"/>
  <c r="AN232" i="1"/>
  <c r="AN264" i="1"/>
  <c r="AN292" i="1"/>
  <c r="AN312" i="1"/>
  <c r="AN332" i="1"/>
  <c r="AN348" i="1"/>
  <c r="AN368" i="1"/>
  <c r="AN27" i="1"/>
  <c r="AN47" i="1"/>
  <c r="AN23" i="1"/>
  <c r="AN71" i="1"/>
  <c r="AN87" i="1"/>
  <c r="AN260" i="1"/>
  <c r="AN108" i="1"/>
  <c r="AN140" i="1"/>
  <c r="AN156" i="1"/>
  <c r="AN40" i="1"/>
  <c r="AN56" i="1"/>
  <c r="AN72" i="1"/>
  <c r="AN88" i="1"/>
  <c r="AN104" i="1"/>
  <c r="AN136" i="1"/>
  <c r="AN180" i="1"/>
  <c r="AN224" i="1"/>
  <c r="AN256" i="1"/>
  <c r="AN324" i="1"/>
  <c r="AN58" i="1"/>
  <c r="AN74" i="1"/>
  <c r="AN90" i="1"/>
  <c r="AN106" i="1"/>
  <c r="AN122" i="1"/>
  <c r="AN138" i="1"/>
  <c r="AN154" i="1"/>
  <c r="AN170" i="1"/>
  <c r="AN186" i="1"/>
  <c r="AN202" i="1"/>
  <c r="AN218" i="1"/>
  <c r="AN234" i="1"/>
  <c r="AN250" i="1"/>
  <c r="AN266" i="1"/>
  <c r="AN282" i="1"/>
  <c r="AN298" i="1"/>
  <c r="AN314" i="1"/>
  <c r="AN330" i="1"/>
  <c r="AN346" i="1"/>
  <c r="AN362" i="1"/>
  <c r="AN103" i="1"/>
  <c r="AN21" i="1"/>
  <c r="AN37" i="1"/>
  <c r="AN53" i="1"/>
  <c r="AN69" i="1"/>
  <c r="AN85" i="1"/>
  <c r="AN101" i="1"/>
  <c r="AN117" i="1"/>
  <c r="AN133" i="1"/>
  <c r="AN149" i="1"/>
  <c r="AN165" i="1"/>
  <c r="AN181" i="1"/>
  <c r="AN197" i="1"/>
  <c r="AN213" i="1"/>
  <c r="AN229" i="1"/>
  <c r="AN245" i="1"/>
  <c r="AN261" i="1"/>
  <c r="AN277" i="1"/>
  <c r="AN293" i="1"/>
  <c r="AN309" i="1"/>
  <c r="AN325" i="1"/>
  <c r="AN341" i="1"/>
  <c r="AN357" i="1"/>
  <c r="AN319" i="1"/>
  <c r="AN335" i="1"/>
  <c r="AN351" i="1"/>
  <c r="AN367" i="1"/>
  <c r="AN119" i="1"/>
  <c r="AN135" i="1"/>
  <c r="AN151" i="1"/>
  <c r="AN167" i="1"/>
  <c r="AN183" i="1"/>
  <c r="AN199" i="1"/>
  <c r="AN215" i="1"/>
  <c r="AN231" i="1"/>
  <c r="AN247" i="1"/>
  <c r="AN263" i="1"/>
  <c r="AN279" i="1"/>
  <c r="AN295" i="1"/>
  <c r="AN311" i="1"/>
  <c r="AN212" i="1"/>
  <c r="AN236" i="1"/>
  <c r="AN268" i="1"/>
  <c r="AN296" i="1"/>
  <c r="AN316" i="1"/>
  <c r="AN336" i="1"/>
  <c r="AN356" i="1"/>
  <c r="AN284" i="1"/>
  <c r="AN31" i="1"/>
  <c r="AN51" i="1"/>
  <c r="AN35" i="1"/>
  <c r="AN75" i="1"/>
  <c r="AN91" i="1"/>
  <c r="AN164" i="1"/>
  <c r="AN32" i="1"/>
  <c r="AN144" i="1"/>
  <c r="AN160" i="1"/>
  <c r="AN44" i="1"/>
  <c r="AN60" i="1"/>
  <c r="AN76" i="1"/>
  <c r="AN92" i="1"/>
  <c r="AN112" i="1"/>
  <c r="AN168" i="1"/>
  <c r="AN192" i="1"/>
  <c r="AN228" i="1"/>
  <c r="AN272" i="1"/>
  <c r="AN352" i="1"/>
  <c r="AN62" i="1"/>
  <c r="AN78" i="1"/>
  <c r="AN94" i="1"/>
  <c r="AN110" i="1"/>
  <c r="AN126" i="1"/>
  <c r="AN142" i="1"/>
  <c r="AN158" i="1"/>
  <c r="AN174" i="1"/>
  <c r="AN190" i="1"/>
  <c r="AN206" i="1"/>
  <c r="AN222" i="1"/>
  <c r="AN238" i="1"/>
  <c r="AN254" i="1"/>
  <c r="AN270" i="1"/>
  <c r="AN286" i="1"/>
  <c r="AN302" i="1"/>
  <c r="AN318" i="1"/>
  <c r="AN334" i="1"/>
  <c r="AN350" i="1"/>
  <c r="AN366" i="1"/>
  <c r="AN25" i="1"/>
  <c r="AN41" i="1"/>
  <c r="AN57" i="1"/>
  <c r="AN73" i="1"/>
  <c r="AN89" i="1"/>
  <c r="AN105" i="1"/>
  <c r="AN121" i="1"/>
  <c r="AN137" i="1"/>
  <c r="AN153" i="1"/>
  <c r="AN169" i="1"/>
  <c r="AN185" i="1"/>
  <c r="AN201" i="1"/>
  <c r="AN217" i="1"/>
  <c r="AN233" i="1"/>
  <c r="AN249" i="1"/>
  <c r="AN265" i="1"/>
  <c r="AN281" i="1"/>
  <c r="AN297" i="1"/>
  <c r="AN313" i="1"/>
  <c r="AN329" i="1"/>
  <c r="AN345" i="1"/>
  <c r="AN361" i="1"/>
  <c r="AN323" i="1"/>
  <c r="AN339" i="1"/>
  <c r="AN355" i="1"/>
  <c r="AN107" i="1"/>
  <c r="AN123" i="1"/>
  <c r="AN139" i="1"/>
  <c r="AN155" i="1"/>
  <c r="AN171" i="1"/>
  <c r="AN187" i="1"/>
  <c r="AN203" i="1"/>
  <c r="AN219" i="1"/>
  <c r="AN235" i="1"/>
  <c r="AN251" i="1"/>
  <c r="AN267" i="1"/>
  <c r="AN283" i="1"/>
  <c r="AN299" i="1"/>
  <c r="AN315" i="1"/>
  <c r="AN216" i="1"/>
  <c r="AN244" i="1"/>
  <c r="AN276" i="1"/>
  <c r="AN300" i="1"/>
  <c r="AN320" i="1"/>
  <c r="AN340" i="1"/>
  <c r="AN360" i="1"/>
  <c r="AN188" i="1"/>
  <c r="AN39" i="1"/>
  <c r="AN55" i="1"/>
  <c r="AN63" i="1"/>
  <c r="AN79" i="1"/>
  <c r="AN95" i="1"/>
  <c r="AN128" i="1"/>
  <c r="AN36" i="1"/>
  <c r="AN148" i="1"/>
  <c r="AN28" i="1"/>
  <c r="AN48" i="1"/>
  <c r="AN64" i="1"/>
  <c r="AN80" i="1"/>
  <c r="AN96" i="1"/>
  <c r="AN116" i="1"/>
  <c r="AN172" i="1"/>
  <c r="AN196" i="1"/>
  <c r="AN240" i="1"/>
  <c r="AN280" i="1"/>
  <c r="AG11" i="1"/>
  <c r="AG12" i="1" s="1"/>
  <c r="J11" i="1"/>
  <c r="J12" i="1" s="1"/>
  <c r="R11" i="1"/>
  <c r="R12" i="1" s="1"/>
  <c r="J15" i="1" l="1"/>
  <c r="J16" i="1"/>
  <c r="AG15" i="1"/>
  <c r="AG16" i="1"/>
  <c r="AF15" i="1"/>
</calcChain>
</file>

<file path=xl/connections.xml><?xml version="1.0" encoding="utf-8"?>
<connections xmlns="http://schemas.openxmlformats.org/spreadsheetml/2006/main">
  <connection id="1" name="200111-1926-Perceptron-Brown-" type="6" refreshedVersion="5" background="1" saveData="1">
    <textPr codePage="850" sourceFile="G:\Peles\estudis\Master Tecnologies del Llenguatge\ASSIGNATURES\DIT\TAREAS\TAREA 4\200111-1926-Perceptron-Brown-.csv" decimal="," thousands="." tab="0" comma="1">
      <textFields count="5">
        <textField/>
        <textField/>
        <textField/>
        <textField/>
        <textField/>
      </textFields>
    </textPr>
  </connection>
  <connection id="2" name="200112-2142-TnT-Brown-1" type="6" refreshedVersion="5" background="1" saveData="1">
    <textPr codePage="850" sourceFile="G:\Peles\estudis\Master Tecnologies del Llenguatge\ASSIGNATURES\DIT\TAREAS\TAREA 4\200112-2142-TnT-Brown-.csv" decimal="," thousands=".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<sst xmlns="http://schemas.openxmlformats.org/spreadsheetml/2006/main" count="4791" uniqueCount="910">
  <si>
    <t>Too</t>
  </si>
  <si>
    <t>QL</t>
  </si>
  <si>
    <t>X</t>
  </si>
  <si>
    <t>often</t>
  </si>
  <si>
    <t>RB</t>
  </si>
  <si>
    <t>ADV</t>
  </si>
  <si>
    <t>a</t>
  </si>
  <si>
    <t>AT</t>
  </si>
  <si>
    <t>beginning</t>
  </si>
  <si>
    <t>VBG</t>
  </si>
  <si>
    <t>VERB</t>
  </si>
  <si>
    <t>bodybuilder</t>
  </si>
  <si>
    <t>NN</t>
  </si>
  <si>
    <t>NOUN</t>
  </si>
  <si>
    <t>has</t>
  </si>
  <si>
    <t>HVZ</t>
  </si>
  <si>
    <t>to</t>
  </si>
  <si>
    <t>TO</t>
  </si>
  <si>
    <t>PRT</t>
  </si>
  <si>
    <t>do</t>
  </si>
  <si>
    <t>DO</t>
  </si>
  <si>
    <t>his</t>
  </si>
  <si>
    <t>PP$</t>
  </si>
  <si>
    <t>training</t>
  </si>
  <si>
    <t>secretly</t>
  </si>
  <si>
    <t>either</t>
  </si>
  <si>
    <t>CC</t>
  </si>
  <si>
    <t>CONJ</t>
  </si>
  <si>
    <t>because</t>
  </si>
  <si>
    <t>CS</t>
  </si>
  <si>
    <t>parents</t>
  </si>
  <si>
    <t>NNS</t>
  </si>
  <si>
    <t>don't</t>
  </si>
  <si>
    <t>DO*</t>
  </si>
  <si>
    <t>want</t>
  </si>
  <si>
    <t>VB</t>
  </si>
  <si>
    <t>sonny-boy</t>
  </si>
  <si>
    <t>``</t>
  </si>
  <si>
    <t>.</t>
  </si>
  <si>
    <t>lift</t>
  </si>
  <si>
    <t>all</t>
  </si>
  <si>
    <t>ABN</t>
  </si>
  <si>
    <t>those</t>
  </si>
  <si>
    <t>DTS</t>
  </si>
  <si>
    <t>old</t>
  </si>
  <si>
    <t>JJ</t>
  </si>
  <si>
    <t>ADJ</t>
  </si>
  <si>
    <t>barbell</t>
  </si>
  <si>
    <t>things</t>
  </si>
  <si>
    <t>''</t>
  </si>
  <si>
    <t>you'll</t>
  </si>
  <si>
    <t>PPSS+MD</t>
  </si>
  <si>
    <t>stunt</t>
  </si>
  <si>
    <t>your</t>
  </si>
  <si>
    <t>growth</t>
  </si>
  <si>
    <t>or</t>
  </si>
  <si>
    <t>childish</t>
  </si>
  <si>
    <t>taunts</t>
  </si>
  <si>
    <t>from</t>
  </si>
  <si>
    <t>IN</t>
  </si>
  <si>
    <t>ADP</t>
  </si>
  <si>
    <t>schoolmates</t>
  </si>
  <si>
    <t>,</t>
  </si>
  <si>
    <t>like</t>
  </si>
  <si>
    <t>Hey</t>
  </si>
  <si>
    <t>UH</t>
  </si>
  <si>
    <t>NP</t>
  </si>
  <si>
    <t>lookit</t>
  </si>
  <si>
    <t>VB+IN</t>
  </si>
  <si>
    <t>IN-TL</t>
  </si>
  <si>
    <t>Mr.</t>
  </si>
  <si>
    <t>America</t>
  </si>
  <si>
    <t>;</t>
  </si>
  <si>
    <t>whaddya</t>
  </si>
  <si>
    <t>WDT+BER+PP</t>
  </si>
  <si>
    <t>gonna</t>
  </si>
  <si>
    <t>VBG+TO</t>
  </si>
  <si>
    <t>NNS-HL</t>
  </si>
  <si>
    <t>with</t>
  </si>
  <si>
    <t>muscles</t>
  </si>
  <si>
    <t>(</t>
  </si>
  <si>
    <t>of</t>
  </si>
  <si>
    <t>which</t>
  </si>
  <si>
    <t>WDT</t>
  </si>
  <si>
    <t>DET</t>
  </si>
  <si>
    <t>he</t>
  </si>
  <si>
    <t>PPS</t>
  </si>
  <si>
    <t>none</t>
  </si>
  <si>
    <t>PN</t>
  </si>
  <si>
    <t>at</t>
  </si>
  <si>
    <t>the</t>
  </si>
  <si>
    <t>time</t>
  </si>
  <si>
    <t>)</t>
  </si>
  <si>
    <t>?</t>
  </si>
  <si>
    <t>After</t>
  </si>
  <si>
    <t>guy's</t>
  </si>
  <si>
    <t>NN+HVZ</t>
  </si>
  <si>
    <t>NN$</t>
  </si>
  <si>
    <t>gotta</t>
  </si>
  <si>
    <t>VBN+TO</t>
  </si>
  <si>
    <t>have</t>
  </si>
  <si>
    <t>HV</t>
  </si>
  <si>
    <t>little</t>
  </si>
  <si>
    <t>AP</t>
  </si>
  <si>
    <t>ego</t>
  </si>
  <si>
    <t>!</t>
  </si>
  <si>
    <t>Therefore</t>
  </si>
  <si>
    <t>it's</t>
  </si>
  <si>
    <t>PPS+BEZ</t>
  </si>
  <si>
    <t>genuine</t>
  </si>
  <si>
    <t>pleasure</t>
  </si>
  <si>
    <t>tell</t>
  </si>
  <si>
    <t>you</t>
  </si>
  <si>
    <t>PPO</t>
  </si>
  <si>
    <t>about</t>
  </si>
  <si>
    <t>an</t>
  </si>
  <si>
    <t>entirely</t>
  </si>
  <si>
    <t>happy</t>
  </si>
  <si>
    <t>who</t>
  </si>
  <si>
    <t>WPS</t>
  </si>
  <si>
    <t>never</t>
  </si>
  <si>
    <t>had</t>
  </si>
  <si>
    <t>HVN</t>
  </si>
  <si>
    <t>train</t>
  </si>
  <si>
    <t>in</t>
  </si>
  <si>
    <t>secret</t>
  </si>
  <si>
    <t>heard</t>
  </si>
  <si>
    <t>VBN</t>
  </si>
  <si>
    <t>one</t>
  </si>
  <si>
    <t>CD</t>
  </si>
  <si>
    <t>NUM</t>
  </si>
  <si>
    <t>unkind</t>
  </si>
  <si>
    <t>word</t>
  </si>
  <si>
    <t>and</t>
  </si>
  <si>
    <t>been</t>
  </si>
  <si>
    <t>BEN</t>
  </si>
  <si>
    <t>taunted</t>
  </si>
  <si>
    <t>by</t>
  </si>
  <si>
    <t>This</t>
  </si>
  <si>
    <t>DT</t>
  </si>
  <si>
    <t>always</t>
  </si>
  <si>
    <t>smiling</t>
  </si>
  <si>
    <t>lad</t>
  </si>
  <si>
    <t>sunny</t>
  </si>
  <si>
    <t>disposition</t>
  </si>
  <si>
    <t>is</t>
  </si>
  <si>
    <t>BEZ</t>
  </si>
  <si>
    <t>our</t>
  </si>
  <si>
    <t>new</t>
  </si>
  <si>
    <t>Junior</t>
  </si>
  <si>
    <t>JJ-TL</t>
  </si>
  <si>
    <t>Canada</t>
  </si>
  <si>
    <t>--</t>
  </si>
  <si>
    <t>Henri</t>
  </si>
  <si>
    <t>De</t>
  </si>
  <si>
    <t>Courcy</t>
  </si>
  <si>
    <t>Far</t>
  </si>
  <si>
    <t>discouraging</t>
  </si>
  <si>
    <t>urge</t>
  </si>
  <si>
    <t>him</t>
  </si>
  <si>
    <t>on</t>
  </si>
  <si>
    <t>RP</t>
  </si>
  <si>
    <t>greater</t>
  </si>
  <si>
    <t>JJR</t>
  </si>
  <si>
    <t>accomplishments</t>
  </si>
  <si>
    <t>Instead</t>
  </si>
  <si>
    <t>admonishing</t>
  </si>
  <si>
    <t>let</t>
  </si>
  <si>
    <t>weights</t>
  </si>
  <si>
    <t>alone</t>
  </si>
  <si>
    <t>they</t>
  </si>
  <si>
    <t>PPSS</t>
  </si>
  <si>
    <t>personally</t>
  </si>
  <si>
    <t>took</t>
  </si>
  <si>
    <t>VBD</t>
  </si>
  <si>
    <t>that</t>
  </si>
  <si>
    <t>master</t>
  </si>
  <si>
    <t>Montreal</t>
  </si>
  <si>
    <t>bodybuilding</t>
  </si>
  <si>
    <t>authority</t>
  </si>
  <si>
    <t>Professor</t>
  </si>
  <si>
    <t>NN-TL</t>
  </si>
  <si>
    <t>Roland</t>
  </si>
  <si>
    <t>Claude</t>
  </si>
  <si>
    <t>And</t>
  </si>
  <si>
    <t>couldn't</t>
  </si>
  <si>
    <t>MD*</t>
  </si>
  <si>
    <t>entrusted</t>
  </si>
  <si>
    <t>better</t>
  </si>
  <si>
    <t>RBR</t>
  </si>
  <si>
    <t>hands</t>
  </si>
  <si>
    <t>le</t>
  </si>
  <si>
    <t>FW-AT</t>
  </si>
  <si>
    <t>professeur</t>
  </si>
  <si>
    <t>FW-NN</t>
  </si>
  <si>
    <t>knows</t>
  </si>
  <si>
    <t>VBZ</t>
  </si>
  <si>
    <t>sterno-cleido</t>
  </si>
  <si>
    <t>mastoideus</t>
  </si>
  <si>
    <t>neck</t>
  </si>
  <si>
    <t>right</t>
  </si>
  <si>
    <t>down</t>
  </si>
  <si>
    <t>tibialis</t>
  </si>
  <si>
    <t>anticus</t>
  </si>
  <si>
    <t>FW-JJ</t>
  </si>
  <si>
    <t>leg</t>
  </si>
  <si>
    <t>still</t>
  </si>
  <si>
    <t>just</t>
  </si>
  <si>
    <t>what</t>
  </si>
  <si>
    <t>exercises</t>
  </si>
  <si>
    <t>work</t>
  </si>
  <si>
    <t>best</t>
  </si>
  <si>
    <t>RBT</t>
  </si>
  <si>
    <t>JJT</t>
  </si>
  <si>
    <t>for</t>
  </si>
  <si>
    <t>them</t>
  </si>
  <si>
    <t>Weider</t>
  </si>
  <si>
    <t>principles</t>
  </si>
  <si>
    <t>combine</t>
  </si>
  <si>
    <t>fast</t>
  </si>
  <si>
    <t>muscle</t>
  </si>
  <si>
    <t>That's</t>
  </si>
  <si>
    <t>DT+BEZ</t>
  </si>
  <si>
    <t>good</t>
  </si>
  <si>
    <t>professor</t>
  </si>
  <si>
    <t>teaches</t>
  </si>
  <si>
    <t>only</t>
  </si>
  <si>
    <t>methods</t>
  </si>
  <si>
    <t>famous</t>
  </si>
  <si>
    <t>NP-TL</t>
  </si>
  <si>
    <t>Health</t>
  </si>
  <si>
    <t>Studio</t>
  </si>
  <si>
    <t>located</t>
  </si>
  <si>
    <t>Mt.</t>
  </si>
  <si>
    <t>Royal</t>
  </si>
  <si>
    <t>East</t>
  </si>
  <si>
    <t>NR-TL</t>
  </si>
  <si>
    <t>Undoubtedly</t>
  </si>
  <si>
    <t>read</t>
  </si>
  <si>
    <t>case</t>
  </si>
  <si>
    <t>histories</t>
  </si>
  <si>
    <t>some</t>
  </si>
  <si>
    <t>DTI</t>
  </si>
  <si>
    <t>prize-winning</t>
  </si>
  <si>
    <t>pupils</t>
  </si>
  <si>
    <t>every</t>
  </si>
  <si>
    <t>pupil</t>
  </si>
  <si>
    <t>physique</t>
  </si>
  <si>
    <t>title</t>
  </si>
  <si>
    <t>kind</t>
  </si>
  <si>
    <t>other</t>
  </si>
  <si>
    <t>There's</t>
  </si>
  <si>
    <t>EX+BEZ</t>
  </si>
  <si>
    <t>Gaetan</t>
  </si>
  <si>
    <t>D'Amours</t>
  </si>
  <si>
    <t>newest</t>
  </si>
  <si>
    <t>Jean-Paul</t>
  </si>
  <si>
    <t>Senesac</t>
  </si>
  <si>
    <t>whose</t>
  </si>
  <si>
    <t>WP$</t>
  </si>
  <si>
    <t>PRON</t>
  </si>
  <si>
    <t>story</t>
  </si>
  <si>
    <t>appeared</t>
  </si>
  <si>
    <t>here</t>
  </si>
  <si>
    <t>two</t>
  </si>
  <si>
    <t>issues</t>
  </si>
  <si>
    <t>ago</t>
  </si>
  <si>
    <t>Jack</t>
  </si>
  <si>
    <t>Boissoneault</t>
  </si>
  <si>
    <t>was</t>
  </si>
  <si>
    <t>BEDZ</t>
  </si>
  <si>
    <t>us</t>
  </si>
  <si>
    <t>last</t>
  </si>
  <si>
    <t>month</t>
  </si>
  <si>
    <t>Charles</t>
  </si>
  <si>
    <t>Harve</t>
  </si>
  <si>
    <t>recently</t>
  </si>
  <si>
    <t>won</t>
  </si>
  <si>
    <t>Most</t>
  </si>
  <si>
    <t>QL-TL</t>
  </si>
  <si>
    <t>Muscular</t>
  </si>
  <si>
    <t>Man</t>
  </si>
  <si>
    <t>subdivision</t>
  </si>
  <si>
    <t>award</t>
  </si>
  <si>
    <t>event</t>
  </si>
  <si>
    <t>host</t>
  </si>
  <si>
    <t>others</t>
  </si>
  <si>
    <t>np</t>
  </si>
  <si>
    <t>rb</t>
  </si>
  <si>
    <t>nn</t>
  </si>
  <si>
    <t>hvz</t>
  </si>
  <si>
    <t>pp$</t>
  </si>
  <si>
    <t>vbg</t>
  </si>
  <si>
    <t>cc</t>
  </si>
  <si>
    <t>cs</t>
  </si>
  <si>
    <t>nns</t>
  </si>
  <si>
    <t>vb</t>
  </si>
  <si>
    <t>abn</t>
  </si>
  <si>
    <t>dts</t>
  </si>
  <si>
    <t>jj</t>
  </si>
  <si>
    <t>ppss</t>
  </si>
  <si>
    <t>wrb</t>
  </si>
  <si>
    <t>np-tl</t>
  </si>
  <si>
    <t>gon</t>
  </si>
  <si>
    <t>-LRB-</t>
  </si>
  <si>
    <t>cd</t>
  </si>
  <si>
    <t>wdt</t>
  </si>
  <si>
    <t>pps</t>
  </si>
  <si>
    <t>pn</t>
  </si>
  <si>
    <t>-RRB-</t>
  </si>
  <si>
    <t>guy</t>
  </si>
  <si>
    <t>got</t>
  </si>
  <si>
    <t>vbd</t>
  </si>
  <si>
    <t>hv</t>
  </si>
  <si>
    <t>it</t>
  </si>
  <si>
    <t>vbz</t>
  </si>
  <si>
    <t>ppo</t>
  </si>
  <si>
    <t>wps</t>
  </si>
  <si>
    <t>hvd</t>
  </si>
  <si>
    <t>ben</t>
  </si>
  <si>
    <t>dt</t>
  </si>
  <si>
    <t>bez</t>
  </si>
  <si>
    <t>jj-tl</t>
  </si>
  <si>
    <t>jjr</t>
  </si>
  <si>
    <t>jjs</t>
  </si>
  <si>
    <t>nn-tl</t>
  </si>
  <si>
    <t>could</t>
  </si>
  <si>
    <t>md</t>
  </si>
  <si>
    <t>vbn</t>
  </si>
  <si>
    <t>jjt</t>
  </si>
  <si>
    <t>in-hl</t>
  </si>
  <si>
    <t>That</t>
  </si>
  <si>
    <t>ap</t>
  </si>
  <si>
    <t>dti</t>
  </si>
  <si>
    <t>There</t>
  </si>
  <si>
    <t>ex</t>
  </si>
  <si>
    <t>wp$</t>
  </si>
  <si>
    <t>bedz</t>
  </si>
  <si>
    <t>Gold, Brown tagset</t>
  </si>
  <si>
    <t>Perceptron, Brown tagset</t>
  </si>
  <si>
    <t>Unk</t>
  </si>
  <si>
    <t>TnT, Brown tagset</t>
  </si>
  <si>
    <t>TnT, Universal</t>
  </si>
  <si>
    <t>sentence (. ; ? *)</t>
  </si>
  <si>
    <t>left paren</t>
  </si>
  <si>
    <t>right paren</t>
  </si>
  <si>
    <t>*</t>
  </si>
  <si>
    <t>not, n't</t>
  </si>
  <si>
    <t>dash</t>
  </si>
  <si>
    <t>comma</t>
  </si>
  <si>
    <t>:</t>
  </si>
  <si>
    <t>colon</t>
  </si>
  <si>
    <t>ABL</t>
  </si>
  <si>
    <t>pre-qualifier (quite, rather)</t>
  </si>
  <si>
    <t>pre-quantifier (half, all)</t>
  </si>
  <si>
    <t>ABX</t>
  </si>
  <si>
    <t>pre-quantifier (both)</t>
  </si>
  <si>
    <t>post-determiner (many, several, next)</t>
  </si>
  <si>
    <t>article (a, the, no)</t>
  </si>
  <si>
    <t>BE</t>
  </si>
  <si>
    <t>be</t>
  </si>
  <si>
    <t>BED</t>
  </si>
  <si>
    <t>were</t>
  </si>
  <si>
    <t>BEG</t>
  </si>
  <si>
    <t>being</t>
  </si>
  <si>
    <t>BEM</t>
  </si>
  <si>
    <t>am</t>
  </si>
  <si>
    <t>BER</t>
  </si>
  <si>
    <t>are, art</t>
  </si>
  <si>
    <t>coordinating conjunction (and, or)</t>
  </si>
  <si>
    <t>cardinal numeral (one, two, 2, etc.)</t>
  </si>
  <si>
    <t>subordinating conjunction (if, although)</t>
  </si>
  <si>
    <t>DOD</t>
  </si>
  <si>
    <t>did</t>
  </si>
  <si>
    <t>DOZ</t>
  </si>
  <si>
    <t>does</t>
  </si>
  <si>
    <t>singular determiner/quantifier (this, that)</t>
  </si>
  <si>
    <t>singular or plural determiner/quantifier (some, any)</t>
  </si>
  <si>
    <t>plural determiner (these, those)</t>
  </si>
  <si>
    <t>DTX</t>
  </si>
  <si>
    <t>determiner/double conjunction (either)</t>
  </si>
  <si>
    <t>EX</t>
  </si>
  <si>
    <t>existential there</t>
  </si>
  <si>
    <t>FW</t>
  </si>
  <si>
    <t>foreign word (hyphenated before regular tag)</t>
  </si>
  <si>
    <t>HL</t>
  </si>
  <si>
    <t>word occurring in the headline (hyphenated after regular tag)</t>
  </si>
  <si>
    <t>HVD</t>
  </si>
  <si>
    <t>had (past tense)</t>
  </si>
  <si>
    <t>HVG</t>
  </si>
  <si>
    <t>having</t>
  </si>
  <si>
    <t>had (past participle)</t>
  </si>
  <si>
    <t>preposition</t>
  </si>
  <si>
    <t>adjective</t>
  </si>
  <si>
    <t>comparative adjective</t>
  </si>
  <si>
    <t>JJS</t>
  </si>
  <si>
    <t>semantically superlative adjective (chief, top)</t>
  </si>
  <si>
    <t>morphologically superlative adjective (biggest)</t>
  </si>
  <si>
    <t>MD</t>
  </si>
  <si>
    <t>modal auxiliary (can, should, will)</t>
  </si>
  <si>
    <t>NC</t>
  </si>
  <si>
    <t>cited word (hyphenated after regular tag)</t>
  </si>
  <si>
    <t>singular or mass noun</t>
  </si>
  <si>
    <t>possessive singular noun</t>
  </si>
  <si>
    <t>plural noun</t>
  </si>
  <si>
    <t>NNS$</t>
  </si>
  <si>
    <t>possessive plural noun</t>
  </si>
  <si>
    <t>proper noun or part of name phrase</t>
  </si>
  <si>
    <t>NP$</t>
  </si>
  <si>
    <t>possessive proper noun</t>
  </si>
  <si>
    <t>NPS</t>
  </si>
  <si>
    <t>plural proper noun</t>
  </si>
  <si>
    <t>NPS$</t>
  </si>
  <si>
    <t>possessive plural proper noun</t>
  </si>
  <si>
    <t>NR</t>
  </si>
  <si>
    <t>adverbial noun (home, today, west)</t>
  </si>
  <si>
    <t>NRS</t>
  </si>
  <si>
    <t>plural adverbial noun</t>
  </si>
  <si>
    <t>OD</t>
  </si>
  <si>
    <t>ordinal numeral (first, 2nd)</t>
  </si>
  <si>
    <t>nominal pronoun (everybody, nothing)</t>
  </si>
  <si>
    <t>PN$</t>
  </si>
  <si>
    <t>possessive nominal pronoun</t>
  </si>
  <si>
    <t>possessive personal pronoun (my, our)</t>
  </si>
  <si>
    <t>PP$$</t>
  </si>
  <si>
    <t>second (nominal) possessive pronoun (mine, ours)</t>
  </si>
  <si>
    <t>PPL</t>
  </si>
  <si>
    <t>singular reflexive/intensive personal pronoun (myself)</t>
  </si>
  <si>
    <t>PPLS</t>
  </si>
  <si>
    <t>plural reflexive/intensive personal pronoun (ourselves)</t>
  </si>
  <si>
    <t>objective personal pronoun (me, him, it, them)</t>
  </si>
  <si>
    <t>3rd. singular nominative pronoun (he, she, it, one)</t>
  </si>
  <si>
    <t>other nominative personal pronoun (I, we, they, you)</t>
  </si>
  <si>
    <t>qualifier (very, fairly)</t>
  </si>
  <si>
    <t>QLP</t>
  </si>
  <si>
    <t>post-qualifier (enough, indeed)</t>
  </si>
  <si>
    <t>adverb</t>
  </si>
  <si>
    <t>comparative adverb</t>
  </si>
  <si>
    <t>superlative adverb</t>
  </si>
  <si>
    <t>RN</t>
  </si>
  <si>
    <t>nominal adverb (here, then, indoors)</t>
  </si>
  <si>
    <t>adverb/particle (about, off, up)</t>
  </si>
  <si>
    <t>TL</t>
  </si>
  <si>
    <t>word occurring in title (hyphenated after regular tag)</t>
  </si>
  <si>
    <t>infinitive marker to</t>
  </si>
  <si>
    <t>interjection, exclamation</t>
  </si>
  <si>
    <t>verb, base form</t>
  </si>
  <si>
    <t>verb, past tense</t>
  </si>
  <si>
    <t>verb, present participle/gerund</t>
  </si>
  <si>
    <t>verb, past participle</t>
  </si>
  <si>
    <t>VBP</t>
  </si>
  <si>
    <t>verb, non 3rd person, singular, present</t>
  </si>
  <si>
    <t>verb, 3rd. singular present</t>
  </si>
  <si>
    <t>wh- determiner (what, which)</t>
  </si>
  <si>
    <t>possessive wh- pronoun (whose)</t>
  </si>
  <si>
    <t>WPO</t>
  </si>
  <si>
    <t>objective wh- pronoun (whom, which, that)</t>
  </si>
  <si>
    <t>nominative wh- pronoun (who, which, that)</t>
  </si>
  <si>
    <t>WQL</t>
  </si>
  <si>
    <t>wh- qualifier (how)</t>
  </si>
  <si>
    <t>WRB</t>
  </si>
  <si>
    <t>wh- adverb (how, where, when)</t>
  </si>
  <si>
    <t>Tag</t>
  </si>
  <si>
    <t>Definition</t>
  </si>
  <si>
    <t>Text, P original</t>
  </si>
  <si>
    <t>Text, S tagged</t>
  </si>
  <si>
    <t>'</t>
  </si>
  <si>
    <t>(-HL</t>
  </si>
  <si>
    <t>)-HL</t>
  </si>
  <si>
    <t>*-HL</t>
  </si>
  <si>
    <t>*-NC</t>
  </si>
  <si>
    <t>*-TL</t>
  </si>
  <si>
    <t>,-HL</t>
  </si>
  <si>
    <t>,-NC</t>
  </si>
  <si>
    <t>,-TL</t>
  </si>
  <si>
    <t>---HL</t>
  </si>
  <si>
    <t>.-HL</t>
  </si>
  <si>
    <t>.-NC</t>
  </si>
  <si>
    <t>.-TL</t>
  </si>
  <si>
    <t>:-HL</t>
  </si>
  <si>
    <t>:-TL</t>
  </si>
  <si>
    <t>ABN-HL</t>
  </si>
  <si>
    <t>ABN-NC</t>
  </si>
  <si>
    <t>ABN-TL</t>
  </si>
  <si>
    <t>AP$</t>
  </si>
  <si>
    <t>AP+AP-NC</t>
  </si>
  <si>
    <t>AP-HL</t>
  </si>
  <si>
    <t>AP-NC</t>
  </si>
  <si>
    <t>AP-TL</t>
  </si>
  <si>
    <t>AT-HL</t>
  </si>
  <si>
    <t>AT-NC</t>
  </si>
  <si>
    <t>AT-TL</t>
  </si>
  <si>
    <t>AT-TL-HL</t>
  </si>
  <si>
    <t>BE-HL</t>
  </si>
  <si>
    <t>BE-TL</t>
  </si>
  <si>
    <t>BED*</t>
  </si>
  <si>
    <t>BED-NC</t>
  </si>
  <si>
    <t>BEDZ*</t>
  </si>
  <si>
    <t>BEDZ-HL</t>
  </si>
  <si>
    <t>BEDZ-NC</t>
  </si>
  <si>
    <t>BEM*</t>
  </si>
  <si>
    <t>BEM-NC</t>
  </si>
  <si>
    <t>BEN-TL</t>
  </si>
  <si>
    <t>BER*</t>
  </si>
  <si>
    <t>BER*-NC</t>
  </si>
  <si>
    <t>BER-HL</t>
  </si>
  <si>
    <t>BER-NC</t>
  </si>
  <si>
    <t>BER-TL</t>
  </si>
  <si>
    <t>BEZ*</t>
  </si>
  <si>
    <t>BEZ-HL</t>
  </si>
  <si>
    <t>BEZ-NC</t>
  </si>
  <si>
    <t>BEZ-TL</t>
  </si>
  <si>
    <t>CC-HL</t>
  </si>
  <si>
    <t>CC-NC</t>
  </si>
  <si>
    <t>CC-TL</t>
  </si>
  <si>
    <t>CC-TL-HL</t>
  </si>
  <si>
    <t>CD$</t>
  </si>
  <si>
    <t>CD-HL</t>
  </si>
  <si>
    <t>CD-NC</t>
  </si>
  <si>
    <t>CD-TL</t>
  </si>
  <si>
    <t>CD-TL-HL</t>
  </si>
  <si>
    <t>CS-HL</t>
  </si>
  <si>
    <t>CS-NC</t>
  </si>
  <si>
    <t>CS-TL</t>
  </si>
  <si>
    <t>DO*-HL</t>
  </si>
  <si>
    <t>DO+PPSS</t>
  </si>
  <si>
    <t>DO-HL</t>
  </si>
  <si>
    <t>DO-NC</t>
  </si>
  <si>
    <t>DO-TL</t>
  </si>
  <si>
    <t>DOD*</t>
  </si>
  <si>
    <t>DOD*-TL</t>
  </si>
  <si>
    <t>DOD-NC</t>
  </si>
  <si>
    <t>DOZ*</t>
  </si>
  <si>
    <t>DOZ*-TL</t>
  </si>
  <si>
    <t>DOZ-HL</t>
  </si>
  <si>
    <t>DOZ-TL</t>
  </si>
  <si>
    <t>DT$</t>
  </si>
  <si>
    <t>DT+BEZ-NC</t>
  </si>
  <si>
    <t>DT+MD</t>
  </si>
  <si>
    <t>DT-HL</t>
  </si>
  <si>
    <t>DT-NC</t>
  </si>
  <si>
    <t>DT-TL</t>
  </si>
  <si>
    <t>DTI-HL</t>
  </si>
  <si>
    <t>DTI-TL</t>
  </si>
  <si>
    <t>DTS+BEZ</t>
  </si>
  <si>
    <t>DTS-HL</t>
  </si>
  <si>
    <t>EX+HVD</t>
  </si>
  <si>
    <t>EX+HVZ</t>
  </si>
  <si>
    <t>EX+MD</t>
  </si>
  <si>
    <t>EX-HL</t>
  </si>
  <si>
    <t>EX-NC</t>
  </si>
  <si>
    <t>FW-*</t>
  </si>
  <si>
    <t>FW-*-TL</t>
  </si>
  <si>
    <t>FW-AT+NN-TL</t>
  </si>
  <si>
    <t>FW-AT+NP-TL</t>
  </si>
  <si>
    <t>FW-AT-HL</t>
  </si>
  <si>
    <t>FW-AT-TL</t>
  </si>
  <si>
    <t>FW-BE</t>
  </si>
  <si>
    <t>FW-BER</t>
  </si>
  <si>
    <t>FW-BEZ</t>
  </si>
  <si>
    <t>FW-CC</t>
  </si>
  <si>
    <t>FW-CC-TL</t>
  </si>
  <si>
    <t>FW-CD</t>
  </si>
  <si>
    <t>FW-CD-TL</t>
  </si>
  <si>
    <t>FW-CS</t>
  </si>
  <si>
    <t>FW-DT</t>
  </si>
  <si>
    <t>FW-DT+BEZ</t>
  </si>
  <si>
    <t>FW-DTS</t>
  </si>
  <si>
    <t>FW-HV</t>
  </si>
  <si>
    <t>FW-IN</t>
  </si>
  <si>
    <t>FW-IN+AT</t>
  </si>
  <si>
    <t>FW-IN+AT-T</t>
  </si>
  <si>
    <t>FW-IN+AT-TL</t>
  </si>
  <si>
    <t>FW-IN+NN</t>
  </si>
  <si>
    <t>FW-IN+NN-TL</t>
  </si>
  <si>
    <t>FW-IN+NP-TL</t>
  </si>
  <si>
    <t>FW-IN-TL</t>
  </si>
  <si>
    <t>FW-JJ-NC</t>
  </si>
  <si>
    <t>FW-JJ-TL</t>
  </si>
  <si>
    <t>FW-JJR</t>
  </si>
  <si>
    <t>FW-JJT</t>
  </si>
  <si>
    <t>FW-NN$</t>
  </si>
  <si>
    <t>FW-NN$-TL</t>
  </si>
  <si>
    <t>FW-NN-NC</t>
  </si>
  <si>
    <t>FW-NN-TL</t>
  </si>
  <si>
    <t>FW-NN-TL-NC</t>
  </si>
  <si>
    <t>FW-NNS</t>
  </si>
  <si>
    <t>FW-NNS-NC</t>
  </si>
  <si>
    <t>FW-NNS-TL</t>
  </si>
  <si>
    <t>FW-NP</t>
  </si>
  <si>
    <t>FW-NP-TL</t>
  </si>
  <si>
    <t>FW-NPS</t>
  </si>
  <si>
    <t>FW-NPS-TL</t>
  </si>
  <si>
    <t>FW-NR</t>
  </si>
  <si>
    <t>FW-NR-TL</t>
  </si>
  <si>
    <t>FW-OD-NC</t>
  </si>
  <si>
    <t>FW-OD-TL</t>
  </si>
  <si>
    <t>FW-PN</t>
  </si>
  <si>
    <t>FW-PP$</t>
  </si>
  <si>
    <t>FW-PP$-NC</t>
  </si>
  <si>
    <t>FW-PP$-TL</t>
  </si>
  <si>
    <t>FW-PPL</t>
  </si>
  <si>
    <t>FW-PPL+VBZ</t>
  </si>
  <si>
    <t>FW-PPO</t>
  </si>
  <si>
    <t>FW-PPO+IN</t>
  </si>
  <si>
    <t>FW-PPS</t>
  </si>
  <si>
    <t>FW-PPSS</t>
  </si>
  <si>
    <t>FW-PPSS+HV</t>
  </si>
  <si>
    <t>FW-QL</t>
  </si>
  <si>
    <t>FW-RB</t>
  </si>
  <si>
    <t>FW-RB+CC</t>
  </si>
  <si>
    <t>FW-RB-TL</t>
  </si>
  <si>
    <t>FW-TO+VB</t>
  </si>
  <si>
    <t>FW-UH</t>
  </si>
  <si>
    <t>FW-UH-NC</t>
  </si>
  <si>
    <t>FW-UH-TL</t>
  </si>
  <si>
    <t>FW-VB</t>
  </si>
  <si>
    <t>FW-VB-NC</t>
  </si>
  <si>
    <t>FW-VB-TL</t>
  </si>
  <si>
    <t>FW-VBD</t>
  </si>
  <si>
    <t>FW-VBD-TL</t>
  </si>
  <si>
    <t>FW-VBG</t>
  </si>
  <si>
    <t>FW-VBG-TL</t>
  </si>
  <si>
    <t>FW-VBN</t>
  </si>
  <si>
    <t>FW-VBZ</t>
  </si>
  <si>
    <t>FW-WDT</t>
  </si>
  <si>
    <t>FW-WPO</t>
  </si>
  <si>
    <t>FW-WPS</t>
  </si>
  <si>
    <t>HV*</t>
  </si>
  <si>
    <t>HV+TO</t>
  </si>
  <si>
    <t>HV-HL</t>
  </si>
  <si>
    <t>HV-NC</t>
  </si>
  <si>
    <t>HV-TL</t>
  </si>
  <si>
    <t>HVD*</t>
  </si>
  <si>
    <t>HVD-HL</t>
  </si>
  <si>
    <t>HVG-HL</t>
  </si>
  <si>
    <t>HVZ*</t>
  </si>
  <si>
    <t>HVZ-NC</t>
  </si>
  <si>
    <t>HVZ-TL</t>
  </si>
  <si>
    <t>IN+IN</t>
  </si>
  <si>
    <t>IN+PPO</t>
  </si>
  <si>
    <t>IN-HL</t>
  </si>
  <si>
    <t>IN-NC</t>
  </si>
  <si>
    <t>IN-TL-HL</t>
  </si>
  <si>
    <t>JJ$-TL</t>
  </si>
  <si>
    <t>JJ+JJ-NC</t>
  </si>
  <si>
    <t>JJ-HL</t>
  </si>
  <si>
    <t>JJ-NC</t>
  </si>
  <si>
    <t>JJ-TL-HL</t>
  </si>
  <si>
    <t>JJ-TL-NC</t>
  </si>
  <si>
    <t>JJR+CS</t>
  </si>
  <si>
    <t>JJR-HL</t>
  </si>
  <si>
    <t>JJR-NC</t>
  </si>
  <si>
    <t>JJR-TL</t>
  </si>
  <si>
    <t>JJS-HL</t>
  </si>
  <si>
    <t>JJS-TL</t>
  </si>
  <si>
    <t>JJT-HL</t>
  </si>
  <si>
    <t>JJT-NC</t>
  </si>
  <si>
    <t>JJT-TL</t>
  </si>
  <si>
    <t>MD*-HL</t>
  </si>
  <si>
    <t>MD+HV</t>
  </si>
  <si>
    <t>MD+PPSS</t>
  </si>
  <si>
    <t>MD+TO</t>
  </si>
  <si>
    <t>MD-HL</t>
  </si>
  <si>
    <t>MD-NC</t>
  </si>
  <si>
    <t>MD-TL</t>
  </si>
  <si>
    <t>NIL</t>
  </si>
  <si>
    <t>NN$-HL</t>
  </si>
  <si>
    <t>NN$-TL</t>
  </si>
  <si>
    <t>NN+BEZ</t>
  </si>
  <si>
    <t>NN+BEZ-TL</t>
  </si>
  <si>
    <t>NN+HVD-TL</t>
  </si>
  <si>
    <t>NN+HVZ-TL</t>
  </si>
  <si>
    <t>NN+IN</t>
  </si>
  <si>
    <t>NN+MD</t>
  </si>
  <si>
    <t>NN+NN-NC</t>
  </si>
  <si>
    <t>NN-HL</t>
  </si>
  <si>
    <t>NN-NC</t>
  </si>
  <si>
    <t>NN-TL-HL</t>
  </si>
  <si>
    <t>NN-TL-NC</t>
  </si>
  <si>
    <t>NNS$-HL</t>
  </si>
  <si>
    <t>NNS$-NC</t>
  </si>
  <si>
    <t>NNS$-TL</t>
  </si>
  <si>
    <t>NNS$-TL-HL</t>
  </si>
  <si>
    <t>NNS+MD</t>
  </si>
  <si>
    <t>NNS-NC</t>
  </si>
  <si>
    <t>NNS-TL</t>
  </si>
  <si>
    <t>NNS-TL-HL</t>
  </si>
  <si>
    <t>NNS-TL-NC</t>
  </si>
  <si>
    <t>NP$-HL</t>
  </si>
  <si>
    <t>NP$-TL</t>
  </si>
  <si>
    <t>NP+BEZ</t>
  </si>
  <si>
    <t>NP+BEZ-NC</t>
  </si>
  <si>
    <t>NP+HVZ</t>
  </si>
  <si>
    <t>NP+HVZ-NC</t>
  </si>
  <si>
    <t>NP+MD</t>
  </si>
  <si>
    <t>NP-HL</t>
  </si>
  <si>
    <t>NP-NC</t>
  </si>
  <si>
    <t>NP-TL-HL</t>
  </si>
  <si>
    <t>NPS$-HL</t>
  </si>
  <si>
    <t>NPS$-TL</t>
  </si>
  <si>
    <t>NPS-HL</t>
  </si>
  <si>
    <t>NPS-NC</t>
  </si>
  <si>
    <t>NPS-TL</t>
  </si>
  <si>
    <t>NR$</t>
  </si>
  <si>
    <t>NR$-TL</t>
  </si>
  <si>
    <t>NR+MD</t>
  </si>
  <si>
    <t>NR-HL</t>
  </si>
  <si>
    <t>NR-TL-HL</t>
  </si>
  <si>
    <t>NR-NC</t>
  </si>
  <si>
    <t>NRS-TL</t>
  </si>
  <si>
    <t>OD-HL</t>
  </si>
  <si>
    <t>OD-NC</t>
  </si>
  <si>
    <t>OD-TL</t>
  </si>
  <si>
    <t>PN+BEZ</t>
  </si>
  <si>
    <t>PN+HVD</t>
  </si>
  <si>
    <t>PN+HVZ</t>
  </si>
  <si>
    <t>PN+MD</t>
  </si>
  <si>
    <t>PN-HL</t>
  </si>
  <si>
    <t>PN-NC</t>
  </si>
  <si>
    <t>PN-TL</t>
  </si>
  <si>
    <t>PP$-HL</t>
  </si>
  <si>
    <t>PP$-NC</t>
  </si>
  <si>
    <t>PP$-TL</t>
  </si>
  <si>
    <t>PPL-HL</t>
  </si>
  <si>
    <t>PPL-NC</t>
  </si>
  <si>
    <t>PPL-TL</t>
  </si>
  <si>
    <t>PPO-HL</t>
  </si>
  <si>
    <t>PPO-NC</t>
  </si>
  <si>
    <t>PPO-TL</t>
  </si>
  <si>
    <t>PPS+BEZ-HL</t>
  </si>
  <si>
    <t>PPS+BEZ-NC</t>
  </si>
  <si>
    <t>PPS+HVD</t>
  </si>
  <si>
    <t>PPS+HVZ</t>
  </si>
  <si>
    <t>PPS+MD</t>
  </si>
  <si>
    <t>PPS-HL</t>
  </si>
  <si>
    <t>PPS-NC</t>
  </si>
  <si>
    <t>PPS-TL</t>
  </si>
  <si>
    <t>PPSS+BEM</t>
  </si>
  <si>
    <t>PPSS+BER</t>
  </si>
  <si>
    <t>PPSS+BER-N</t>
  </si>
  <si>
    <t>PPSS+BER-NC</t>
  </si>
  <si>
    <t>PPSS+BER-TL</t>
  </si>
  <si>
    <t>PPSS+BEZ</t>
  </si>
  <si>
    <t>PPSS+BEZ*</t>
  </si>
  <si>
    <t>PPSS+HV</t>
  </si>
  <si>
    <t>PPSS+HV-TL</t>
  </si>
  <si>
    <t>PPSS+HVD</t>
  </si>
  <si>
    <t>PPSS+MD-NC</t>
  </si>
  <si>
    <t>PPSS+VB</t>
  </si>
  <si>
    <t>PPSS-HL</t>
  </si>
  <si>
    <t>PPSS-NC</t>
  </si>
  <si>
    <t>PPSS-TL</t>
  </si>
  <si>
    <t>QL-HL</t>
  </si>
  <si>
    <t>QL-NC</t>
  </si>
  <si>
    <t>RB$</t>
  </si>
  <si>
    <t>RB+BEZ</t>
  </si>
  <si>
    <t>RB+BEZ-HL</t>
  </si>
  <si>
    <t>RB+BEZ-NC</t>
  </si>
  <si>
    <t>RB+CS</t>
  </si>
  <si>
    <t>RB-HL</t>
  </si>
  <si>
    <t>RB-NC</t>
  </si>
  <si>
    <t>RB-TL</t>
  </si>
  <si>
    <t>RBR+CS</t>
  </si>
  <si>
    <t>RBR-NC</t>
  </si>
  <si>
    <t>RP+IN</t>
  </si>
  <si>
    <t>RP-HL</t>
  </si>
  <si>
    <t>RP-NC</t>
  </si>
  <si>
    <t>RP-TL</t>
  </si>
  <si>
    <t>TO+VB</t>
  </si>
  <si>
    <t>TO-HL</t>
  </si>
  <si>
    <t>TO-NC</t>
  </si>
  <si>
    <t>TO-TL</t>
  </si>
  <si>
    <t>UH-HL</t>
  </si>
  <si>
    <t>UH-NC</t>
  </si>
  <si>
    <t>UH-TL</t>
  </si>
  <si>
    <t>VB+AT</t>
  </si>
  <si>
    <t>VB+JJ-NC</t>
  </si>
  <si>
    <t>VB+PPO</t>
  </si>
  <si>
    <t>VB+RP</t>
  </si>
  <si>
    <t>VB+TO</t>
  </si>
  <si>
    <t>VB+VB-NC</t>
  </si>
  <si>
    <t>VB-HL</t>
  </si>
  <si>
    <t>VB-NC</t>
  </si>
  <si>
    <t>VB-TL</t>
  </si>
  <si>
    <t>VBD-HL</t>
  </si>
  <si>
    <t>VBD-NC</t>
  </si>
  <si>
    <t>VBD-TL</t>
  </si>
  <si>
    <t>VBG-HL</t>
  </si>
  <si>
    <t>VBG-NC</t>
  </si>
  <si>
    <t>VBG-TL</t>
  </si>
  <si>
    <t>VBN-HL</t>
  </si>
  <si>
    <t>VBN-NC</t>
  </si>
  <si>
    <t>VBN-TL</t>
  </si>
  <si>
    <t>VBN-TL-HL</t>
  </si>
  <si>
    <t>VBN-TL-NC</t>
  </si>
  <si>
    <t>VBZ-HL</t>
  </si>
  <si>
    <t>VBZ-NC</t>
  </si>
  <si>
    <t>VBZ-TL</t>
  </si>
  <si>
    <t>WDT+BER</t>
  </si>
  <si>
    <t>WDT+BEZ</t>
  </si>
  <si>
    <t>WDT+BEZ-HL</t>
  </si>
  <si>
    <t>WDT+BEZ-NC</t>
  </si>
  <si>
    <t>WDT+BEZ-TL</t>
  </si>
  <si>
    <t>WDT+DO+PPS</t>
  </si>
  <si>
    <t>WDT+DOD</t>
  </si>
  <si>
    <t>WDT+HVZ</t>
  </si>
  <si>
    <t>WDT-HL</t>
  </si>
  <si>
    <t>WDT-NC</t>
  </si>
  <si>
    <t>WPO-NC</t>
  </si>
  <si>
    <t>WPO-TL</t>
  </si>
  <si>
    <t>WPS+BEZ</t>
  </si>
  <si>
    <t>WPS+BEZ-NC</t>
  </si>
  <si>
    <t>WPS+BEZ-TL</t>
  </si>
  <si>
    <t>WPS+HVD</t>
  </si>
  <si>
    <t>WPS+HVZ</t>
  </si>
  <si>
    <t>WPS+MD</t>
  </si>
  <si>
    <t>WPS-HL</t>
  </si>
  <si>
    <t>WPS-NC</t>
  </si>
  <si>
    <t>WPS-TL</t>
  </si>
  <si>
    <t>WQL-TL</t>
  </si>
  <si>
    <t>WRB+BER</t>
  </si>
  <si>
    <t>WRB+BEZ</t>
  </si>
  <si>
    <t>WRB+BEZ-TL</t>
  </si>
  <si>
    <t>WRB+DO</t>
  </si>
  <si>
    <t>WRB+DOD</t>
  </si>
  <si>
    <t>WRB+DOD*</t>
  </si>
  <si>
    <t>WRB+DOZ</t>
  </si>
  <si>
    <t>WRB+IN</t>
  </si>
  <si>
    <t>WRB+MD</t>
  </si>
  <si>
    <t>WRB-HL</t>
  </si>
  <si>
    <t>WRB-NC</t>
  </si>
  <si>
    <t>WRB-TL</t>
  </si>
  <si>
    <t>Brown</t>
  </si>
  <si>
    <t>Universal</t>
  </si>
  <si>
    <t>Perceptron, Universal (NLTK)</t>
  </si>
  <si>
    <t>Perceptron, Universal (manual)</t>
  </si>
  <si>
    <t>Gold, Universal (manual)</t>
  </si>
  <si>
    <t>https://www.nltk.org/_modules/nltk/tag/mapping.html</t>
  </si>
  <si>
    <t xml:space="preserve"> http://code.google.com/p/universal-pos-tags/</t>
  </si>
  <si>
    <t>Standford, Universal (manual)</t>
  </si>
  <si>
    <t xml:space="preserve">Brown Tagset [http://clu.uni.no/icame/manuals/BROWN/INDEX.HTM#bc6]
</t>
  </si>
  <si>
    <t>begin quotation</t>
  </si>
  <si>
    <t>end quotation</t>
  </si>
  <si>
    <t>Right Brown</t>
  </si>
  <si>
    <t>Right Universal</t>
  </si>
  <si>
    <t>Total etiquetas</t>
  </si>
  <si>
    <t>%</t>
  </si>
  <si>
    <t>Otras etiquetas gold</t>
  </si>
  <si>
    <t>Etiquetas TnT</t>
  </si>
  <si>
    <t>unknown</t>
  </si>
  <si>
    <t>TnT</t>
  </si>
  <si>
    <t>Asignado</t>
  </si>
  <si>
    <t>Unknown</t>
  </si>
  <si>
    <t>Stanford 3000, Brown tagset</t>
  </si>
  <si>
    <t>ql</t>
  </si>
  <si>
    <t>nn-hl</t>
  </si>
  <si>
    <t>rp</t>
  </si>
  <si>
    <t>fw-at</t>
  </si>
  <si>
    <t>fw-nn</t>
  </si>
  <si>
    <t xml:space="preserve">Total Brown </t>
  </si>
  <si>
    <t>Total univ</t>
  </si>
  <si>
    <t>palabra desconocida solo mal etiquetada por TNT</t>
  </si>
  <si>
    <t>palabra desconocida mal etiquetada por TNT y Perceptron</t>
  </si>
  <si>
    <t>palabra desconocida mal etiquetada por TNT y Stanford</t>
  </si>
  <si>
    <t>palabra desconocida mal etiquetada por los 3 etiquetadores</t>
  </si>
  <si>
    <t>Total palabras deconocidas</t>
  </si>
  <si>
    <t>Aciertos</t>
  </si>
  <si>
    <t>do*</t>
  </si>
  <si>
    <t>nn$</t>
  </si>
  <si>
    <t>pps+bez</t>
  </si>
  <si>
    <t>md*</t>
  </si>
  <si>
    <t>dt+bez</t>
  </si>
  <si>
    <t>ex+bez</t>
  </si>
  <si>
    <t>ppss+md</t>
  </si>
  <si>
    <t>jj-hl</t>
  </si>
  <si>
    <t>label</t>
  </si>
  <si>
    <t>En Brown tagset</t>
  </si>
  <si>
    <t>En gold tagset</t>
  </si>
  <si>
    <t>Etiquetas gold presentes en el texto analizado ce01</t>
  </si>
  <si>
    <t>Stanford 20000, Brown tagset</t>
  </si>
  <si>
    <t>adp</t>
  </si>
  <si>
    <t>Parte del error debido a palabras desconocidas</t>
  </si>
  <si>
    <t xml:space="preserve"> adjective</t>
  </si>
  <si>
    <t xml:space="preserve"> adposition</t>
  </si>
  <si>
    <t xml:space="preserve"> adverb</t>
  </si>
  <si>
    <t>AUX</t>
  </si>
  <si>
    <t xml:space="preserve"> auxiliary</t>
  </si>
  <si>
    <t>CCONJ</t>
  </si>
  <si>
    <t xml:space="preserve"> coordinating conjunction</t>
  </si>
  <si>
    <t xml:space="preserve"> determiner</t>
  </si>
  <si>
    <t>INTJ</t>
  </si>
  <si>
    <t xml:space="preserve"> interjection</t>
  </si>
  <si>
    <t xml:space="preserve"> noun</t>
  </si>
  <si>
    <t xml:space="preserve"> numeral</t>
  </si>
  <si>
    <t>PART</t>
  </si>
  <si>
    <t xml:space="preserve"> particle</t>
  </si>
  <si>
    <t xml:space="preserve"> pronoun</t>
  </si>
  <si>
    <t>PROPN</t>
  </si>
  <si>
    <t xml:space="preserve"> proper noun</t>
  </si>
  <si>
    <t>PUNCT</t>
  </si>
  <si>
    <t xml:space="preserve"> punctuation</t>
  </si>
  <si>
    <t>SCONJ</t>
  </si>
  <si>
    <t xml:space="preserve"> subordinating conjunction</t>
  </si>
  <si>
    <t>SYM</t>
  </si>
  <si>
    <t xml:space="preserve"> symbol</t>
  </si>
  <si>
    <t xml:space="preserve"> verb</t>
  </si>
  <si>
    <t xml:space="preserve"> other</t>
  </si>
  <si>
    <t>Es ADJ</t>
  </si>
  <si>
    <t>Es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</si>
</sst>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0"/>
      <color rgb="FF4070A0"/>
      <name val="Arial Unicode MS"/>
      <family val="2"/>
    </font>
    <font>
      <b/>
      <sz val="13"/>
      <color theme="8"/>
      <name val="Calibri"/>
      <family val="2"/>
      <scheme val="minor"/>
    </font>
    <font>
      <sz val="13"/>
      <color theme="8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0" tint="-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125">
        <fgColor rgb="FFFA4B2E"/>
        <bgColor auto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4" borderId="0" xfId="0" applyFill="1" applyAlignment="1"/>
    <xf numFmtId="0" fontId="0" fillId="0" borderId="0" xfId="0" applyFill="1" applyAlignment="1"/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5" borderId="0" xfId="0" applyFont="1" applyFill="1" applyAlignment="1">
      <alignment vertical="top"/>
    </xf>
    <xf numFmtId="0" fontId="0" fillId="5" borderId="0" xfId="0" applyFill="1" applyAlignment="1"/>
    <xf numFmtId="0" fontId="3" fillId="0" borderId="0" xfId="1"/>
    <xf numFmtId="0" fontId="4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/>
    <xf numFmtId="0" fontId="5" fillId="0" borderId="0" xfId="0" applyFont="1" applyAlignment="1"/>
    <xf numFmtId="0" fontId="6" fillId="0" borderId="0" xfId="0" applyFont="1"/>
    <xf numFmtId="0" fontId="7" fillId="0" borderId="0" xfId="0" applyFont="1" applyAlignment="1">
      <alignment vertical="center" wrapText="1"/>
    </xf>
    <xf numFmtId="0" fontId="1" fillId="0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0" borderId="0" xfId="0" applyFont="1" applyAlignment="1">
      <alignment vertical="center"/>
    </xf>
    <xf numFmtId="0" fontId="8" fillId="5" borderId="0" xfId="0" applyFont="1" applyFill="1" applyAlignment="1"/>
    <xf numFmtId="0" fontId="8" fillId="2" borderId="0" xfId="0" applyFont="1" applyFill="1" applyAlignment="1"/>
    <xf numFmtId="0" fontId="8" fillId="3" borderId="0" xfId="0" applyFont="1" applyFill="1" applyAlignment="1"/>
    <xf numFmtId="0" fontId="8" fillId="6" borderId="0" xfId="0" applyFont="1" applyFill="1" applyAlignment="1"/>
    <xf numFmtId="0" fontId="8" fillId="0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4B2E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200112-2142-TnT-Brown-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00111-1926-Perceptron-Brown-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ltk.org/_modules/nltk/tag/mapp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P371"/>
  <sheetViews>
    <sheetView topLeftCell="A7" workbookViewId="0"/>
  </sheetViews>
  <sheetFormatPr defaultRowHeight="15" x14ac:dyDescent="0.25"/>
  <cols>
    <col min="1" max="1" width="14.42578125" style="4" customWidth="1"/>
    <col min="2" max="2" width="8.28515625" style="4" customWidth="1"/>
    <col min="3" max="3" width="7.7109375" style="4" customWidth="1"/>
    <col min="4" max="4" width="8.28515625" style="4" customWidth="1"/>
    <col min="5" max="5" width="32.140625" style="4" customWidth="1"/>
    <col min="6" max="6" width="1.28515625" style="4" customWidth="1"/>
    <col min="7" max="7" width="9.7109375" style="4" customWidth="1"/>
    <col min="8" max="8" width="1.85546875" style="4" customWidth="1"/>
    <col min="9" max="9" width="8.28515625" style="6" customWidth="1"/>
    <col min="10" max="10" width="25.28515625" style="6" customWidth="1"/>
    <col min="11" max="12" width="8.28515625" style="6" customWidth="1"/>
    <col min="13" max="14" width="3.85546875" style="6" customWidth="1"/>
    <col min="15" max="15" width="2.140625" style="6" customWidth="1"/>
    <col min="16" max="16" width="17.85546875" style="4" hidden="1" customWidth="1"/>
    <col min="17" max="17" width="8.28515625" style="6" hidden="1" customWidth="1"/>
    <col min="18" max="18" width="30.85546875" style="6" hidden="1" customWidth="1"/>
    <col min="19" max="19" width="0.7109375" style="6" hidden="1" customWidth="1"/>
    <col min="20" max="22" width="12.85546875" style="6" hidden="1" customWidth="1"/>
    <col min="23" max="23" width="0.7109375" style="6" hidden="1" customWidth="1"/>
    <col min="24" max="24" width="9.85546875" style="4" customWidth="1"/>
    <col min="25" max="25" width="8.28515625" style="6" customWidth="1"/>
    <col min="26" max="26" width="30.85546875" style="6" customWidth="1"/>
    <col min="27" max="27" width="0.7109375" style="6" customWidth="1"/>
    <col min="28" max="28" width="9.140625" style="6" customWidth="1"/>
    <col min="29" max="30" width="3.140625" style="6" customWidth="1"/>
    <col min="31" max="31" width="2" style="6" customWidth="1"/>
    <col min="32" max="32" width="8.28515625" style="6" customWidth="1"/>
    <col min="33" max="33" width="24.7109375" style="6" customWidth="1"/>
    <col min="34" max="34" width="8.28515625" style="6" customWidth="1"/>
    <col min="35" max="35" width="9.140625" style="6" customWidth="1"/>
    <col min="36" max="37" width="2.7109375" style="6" customWidth="1"/>
    <col min="38" max="38" width="2.28515625" style="6" customWidth="1"/>
    <col min="39" max="39" width="3.140625" style="6" customWidth="1"/>
    <col min="40" max="40" width="3" style="6" customWidth="1"/>
    <col min="41" max="16384" width="9.140625" style="6"/>
  </cols>
  <sheetData>
    <row r="5" spans="1:33" x14ac:dyDescent="0.25">
      <c r="A5" s="28" t="s">
        <v>865</v>
      </c>
      <c r="B5" s="28"/>
    </row>
    <row r="6" spans="1:33" x14ac:dyDescent="0.25">
      <c r="A6" s="25" t="s">
        <v>862</v>
      </c>
      <c r="B6" s="25"/>
    </row>
    <row r="7" spans="1:33" x14ac:dyDescent="0.25">
      <c r="A7" s="26" t="s">
        <v>863</v>
      </c>
      <c r="B7" s="26"/>
    </row>
    <row r="8" spans="1:33" x14ac:dyDescent="0.25">
      <c r="A8" s="27" t="s">
        <v>864</v>
      </c>
      <c r="B8" s="27"/>
    </row>
    <row r="9" spans="1:33" x14ac:dyDescent="0.25">
      <c r="I9" s="6" t="s">
        <v>833</v>
      </c>
      <c r="J9" s="6" t="s">
        <v>834</v>
      </c>
      <c r="Q9" s="6" t="s">
        <v>833</v>
      </c>
      <c r="R9" s="6" t="s">
        <v>834</v>
      </c>
      <c r="Y9" s="6" t="s">
        <v>833</v>
      </c>
      <c r="Z9" s="6" t="s">
        <v>834</v>
      </c>
      <c r="AF9" s="6" t="s">
        <v>833</v>
      </c>
      <c r="AG9" s="6" t="s">
        <v>834</v>
      </c>
    </row>
    <row r="10" spans="1:33" x14ac:dyDescent="0.25">
      <c r="A10" s="4" t="s">
        <v>846</v>
      </c>
      <c r="I10" s="6">
        <f>COUNTA(I$20:I$989)</f>
        <v>350</v>
      </c>
      <c r="J10" s="6">
        <f>COUNTA($G$20:$G$989)</f>
        <v>350</v>
      </c>
      <c r="Q10" s="6">
        <f>COUNTA(Q20:Q1000)</f>
        <v>350</v>
      </c>
      <c r="R10" s="6">
        <f>COUNTA($G20:$G1000)</f>
        <v>350</v>
      </c>
      <c r="Y10" s="6">
        <f>COUNTA(Y$20:Y$989)</f>
        <v>350</v>
      </c>
      <c r="Z10" s="6">
        <f>COUNTA($G$20:$G$989)</f>
        <v>350</v>
      </c>
      <c r="AF10" s="6">
        <f>COUNTA(AF$20:AF$989)</f>
        <v>350</v>
      </c>
      <c r="AG10" s="6">
        <f>COUNTA($G$20:$G$989)</f>
        <v>350</v>
      </c>
    </row>
    <row r="11" spans="1:33" x14ac:dyDescent="0.25">
      <c r="A11" s="4" t="s">
        <v>867</v>
      </c>
      <c r="I11" s="6">
        <f>SUM(M$20:M$989)</f>
        <v>317</v>
      </c>
      <c r="J11" s="6">
        <f>SUM(N$20:N$989)</f>
        <v>323</v>
      </c>
      <c r="Q11" s="6">
        <f>SUM(U20:U369)</f>
        <v>293</v>
      </c>
      <c r="R11" s="6">
        <f>SUM(V20:V1000)</f>
        <v>306</v>
      </c>
      <c r="Y11" s="6">
        <f>SUM(AC$20:AC$989)</f>
        <v>323</v>
      </c>
      <c r="Z11" s="6">
        <f>SUM(AD$20:AD$989)</f>
        <v>328</v>
      </c>
      <c r="AF11" s="6">
        <f>SUM(AJ$20:AJ$989)</f>
        <v>301</v>
      </c>
      <c r="AG11" s="6">
        <f>SUM(AK$20:AK$989)</f>
        <v>303</v>
      </c>
    </row>
    <row r="12" spans="1:33" x14ac:dyDescent="0.25">
      <c r="A12" s="4" t="s">
        <v>847</v>
      </c>
      <c r="I12" s="14">
        <f>I11/I10</f>
        <v>0.90571428571428569</v>
      </c>
      <c r="J12" s="14">
        <f>J11/J10</f>
        <v>0.92285714285714282</v>
      </c>
      <c r="Q12" s="14">
        <f>Q11/Q10</f>
        <v>0.83714285714285719</v>
      </c>
      <c r="R12" s="14">
        <f>R11/R10</f>
        <v>0.87428571428571433</v>
      </c>
      <c r="Y12" s="14">
        <f>Y11/Y10</f>
        <v>0.92285714285714282</v>
      </c>
      <c r="Z12" s="14">
        <f>Z11/Z10</f>
        <v>0.93714285714285717</v>
      </c>
      <c r="AF12" s="14">
        <f>AF11/AF10</f>
        <v>0.86</v>
      </c>
      <c r="AG12" s="14">
        <f>AG11/AG10</f>
        <v>0.86571428571428577</v>
      </c>
    </row>
    <row r="13" spans="1:33" x14ac:dyDescent="0.25">
      <c r="A13" s="4" t="s">
        <v>866</v>
      </c>
      <c r="I13" s="6">
        <f>COUNTIFS($AF$20:$AF989,"Unk")</f>
        <v>40</v>
      </c>
      <c r="J13" s="6">
        <f>COUNTIFS($AF$20:$AF989,"Unk")</f>
        <v>40</v>
      </c>
      <c r="Y13" s="6">
        <f>COUNTIFS($AF$20:$AF989,"Unk")</f>
        <v>40</v>
      </c>
      <c r="Z13" s="6">
        <f>COUNTIFS($AF$20:$AF989,"Unk")</f>
        <v>40</v>
      </c>
      <c r="AF13" s="6">
        <f>COUNTIFS($AF$20:$AF989,"Unk")</f>
        <v>40</v>
      </c>
      <c r="AG13" s="6">
        <f>COUNTIFS($AF$20:$AF989,"Unk")</f>
        <v>40</v>
      </c>
    </row>
    <row r="14" spans="1:33" x14ac:dyDescent="0.25">
      <c r="A14" s="4" t="s">
        <v>867</v>
      </c>
      <c r="I14" s="6">
        <f>SUMIFS(M$20:M$987,$AF$20:$AF$987,"Unk")</f>
        <v>23</v>
      </c>
      <c r="J14" s="6">
        <f>SUMIFS(N$20:N$987,$AF$20:$AF$987,"Unk")</f>
        <v>26</v>
      </c>
      <c r="Y14" s="6">
        <f>SUMIFS(AC$20:AC$987,$AF$20:$AF$987,"Unk")</f>
        <v>27</v>
      </c>
      <c r="Z14" s="6">
        <f>SUMIFS(AD$20:AD$987,$AF$20:$AF$987,"Unk")</f>
        <v>29</v>
      </c>
      <c r="AF14" s="6">
        <f>SUMIFS(AJ$20:AJ$987,$AF$20:$AF$987,"Unk")</f>
        <v>0</v>
      </c>
      <c r="AG14" s="6">
        <f>SUMIFS(AK$20:AK$987,$AF$20:$AF$987,"Unk")</f>
        <v>0</v>
      </c>
    </row>
    <row r="15" spans="1:33" x14ac:dyDescent="0.25">
      <c r="A15" s="4" t="s">
        <v>847</v>
      </c>
      <c r="I15" s="14">
        <f>I14/I13</f>
        <v>0.57499999999999996</v>
      </c>
      <c r="J15" s="14">
        <f>J14/J13</f>
        <v>0.65</v>
      </c>
      <c r="Q15" s="14" t="e">
        <f>Q14/Q13</f>
        <v>#DIV/0!</v>
      </c>
      <c r="R15" s="14" t="e">
        <f>R14/R13</f>
        <v>#DIV/0!</v>
      </c>
      <c r="Y15" s="14">
        <f>Y14/Y13</f>
        <v>0.67500000000000004</v>
      </c>
      <c r="Z15" s="14">
        <f>Z14/Z13</f>
        <v>0.72499999999999998</v>
      </c>
      <c r="AF15" s="14">
        <f>AF14/AF13</f>
        <v>0</v>
      </c>
      <c r="AG15" s="14">
        <f>AG14/AG13</f>
        <v>0</v>
      </c>
    </row>
    <row r="16" spans="1:33" x14ac:dyDescent="0.25">
      <c r="A16" s="4" t="s">
        <v>882</v>
      </c>
      <c r="I16" s="6">
        <f>(I13-I14)/I10</f>
        <v>4.8571428571428571E-2</v>
      </c>
      <c r="J16" s="6">
        <f>(J13-J14)/J10</f>
        <v>0.04</v>
      </c>
      <c r="Y16" s="6">
        <f>(Y13-Y14)/Y10</f>
        <v>3.7142857142857144E-2</v>
      </c>
      <c r="Z16" s="6">
        <f>(Z13-Z14)/Z10</f>
        <v>3.1428571428571431E-2</v>
      </c>
      <c r="AF16" s="6">
        <f>(AF13-AF14)/AF10</f>
        <v>0.11428571428571428</v>
      </c>
      <c r="AG16" s="6">
        <f>(AG13-AG14)/AG10</f>
        <v>0.11428571428571428</v>
      </c>
    </row>
    <row r="18" spans="1:42" x14ac:dyDescent="0.25">
      <c r="I18" s="6">
        <f>I16*2</f>
        <v>9.7142857142857142E-2</v>
      </c>
    </row>
    <row r="19" spans="1:42" s="21" customFormat="1" ht="79.5" customHeight="1" x14ac:dyDescent="0.25">
      <c r="A19" s="18" t="s">
        <v>464</v>
      </c>
      <c r="B19" s="21" t="s">
        <v>908</v>
      </c>
      <c r="C19" s="21" t="s">
        <v>909</v>
      </c>
      <c r="D19" s="19" t="s">
        <v>338</v>
      </c>
      <c r="E19" s="19"/>
      <c r="F19" s="19"/>
      <c r="G19" s="19" t="s">
        <v>837</v>
      </c>
      <c r="H19" s="18"/>
      <c r="I19" s="20" t="s">
        <v>339</v>
      </c>
      <c r="J19" s="20"/>
      <c r="K19" s="20" t="s">
        <v>835</v>
      </c>
      <c r="L19" s="20" t="s">
        <v>836</v>
      </c>
      <c r="M19" s="20" t="s">
        <v>844</v>
      </c>
      <c r="N19" s="20" t="s">
        <v>845</v>
      </c>
      <c r="P19" s="18" t="s">
        <v>465</v>
      </c>
      <c r="Q19" s="22" t="s">
        <v>854</v>
      </c>
      <c r="R19" s="22"/>
      <c r="S19" s="22"/>
      <c r="T19" s="22" t="s">
        <v>840</v>
      </c>
      <c r="U19" s="22" t="s">
        <v>844</v>
      </c>
      <c r="V19" s="22" t="s">
        <v>845</v>
      </c>
      <c r="X19" s="18" t="s">
        <v>465</v>
      </c>
      <c r="Y19" s="22" t="s">
        <v>880</v>
      </c>
      <c r="Z19" s="22"/>
      <c r="AA19" s="22"/>
      <c r="AB19" s="22" t="s">
        <v>840</v>
      </c>
      <c r="AC19" s="22" t="s">
        <v>844</v>
      </c>
      <c r="AD19" s="22" t="s">
        <v>845</v>
      </c>
      <c r="AF19" s="23" t="s">
        <v>341</v>
      </c>
      <c r="AG19" s="23"/>
      <c r="AH19" s="23" t="s">
        <v>342</v>
      </c>
      <c r="AI19" s="23"/>
      <c r="AJ19" s="23" t="s">
        <v>844</v>
      </c>
      <c r="AK19" s="23" t="s">
        <v>845</v>
      </c>
      <c r="AM19" s="21" t="s">
        <v>860</v>
      </c>
      <c r="AN19" s="21" t="s">
        <v>861</v>
      </c>
    </row>
    <row r="20" spans="1:42" x14ac:dyDescent="0.25">
      <c r="A20" s="4" t="s">
        <v>0</v>
      </c>
      <c r="C20" s="4">
        <v>1</v>
      </c>
      <c r="D20" s="3" t="s">
        <v>1</v>
      </c>
      <c r="E20" s="3" t="str">
        <f>INDEX('Brown tagset'!$B:$B,MATCH(IF(ISERROR(FIND("-",D20)),IF(ISERROR(FIND("+",D20)),D20,LEFT(D20,FIND("+",D20)-1)),LEFT(D20,FIND("-",D20)-1)),'Brown tagset'!$A:$A,0))</f>
        <v>qualifier (very, fairly)</v>
      </c>
      <c r="F20" s="3"/>
      <c r="G20" s="3" t="str">
        <f>INDEX('Brown-Universal mapping'!$B:$B,MATCH(D20,'Brown-Universal mapping'!$A:$A,0))</f>
        <v>ADV</v>
      </c>
      <c r="I20" s="5" t="s">
        <v>1</v>
      </c>
      <c r="J20" s="5" t="str">
        <f>INDEX('Brown tagset'!$B:$B,MATCH(IF(ISERROR(FIND("-",I20)),IF(ISERROR(FIND("+",I20)),I20,LEFT(I20,FIND("+",I20)-1)),LEFT(I20,FIND("-",I20)-1)),'Brown tagset'!$A:$A,0))</f>
        <v>qualifier (very, fairly)</v>
      </c>
      <c r="K20" s="5" t="s">
        <v>2</v>
      </c>
      <c r="L20" s="5" t="str">
        <f>INDEX('Brown-Universal mapping'!$B:$B,MATCH(I20,'Brown-Universal mapping'!$A:$A,0))</f>
        <v>ADV</v>
      </c>
      <c r="M20" s="5">
        <f>IF(I20=$D20,1,0)</f>
        <v>1</v>
      </c>
      <c r="N20" s="5">
        <f>IF(L20=$G20,1,0)</f>
        <v>1</v>
      </c>
      <c r="P20" s="12" t="s">
        <v>0</v>
      </c>
      <c r="Q20" s="7" t="s">
        <v>287</v>
      </c>
      <c r="R20" s="7" t="str">
        <f>INDEX('Brown tagset'!$B:$B,MATCH(IF(ISERROR(FIND("-",Q20)),IF(ISERROR(FIND("+",Q20)),Q20,LEFT(Q20,FIND("+",Q20)-1)),LEFT(Q20,FIND("-",Q20)-1)),'Brown tagset'!$A:$A,0))</f>
        <v>proper noun or part of name phrase</v>
      </c>
      <c r="S20" s="7"/>
      <c r="T20" s="7" t="str">
        <f>INDEX('Brown-Universal mapping'!$B:$B,MATCH(Q20,'Brown-Universal mapping'!$A:$A,0))</f>
        <v>NOUN</v>
      </c>
      <c r="U20" s="7">
        <f>IF(Q20=$D20,1,0)</f>
        <v>0</v>
      </c>
      <c r="V20" s="7">
        <f>IF(T20=$G20,1,0)</f>
        <v>0</v>
      </c>
      <c r="X20" s="12" t="s">
        <v>0</v>
      </c>
      <c r="Y20" s="7" t="s">
        <v>855</v>
      </c>
      <c r="Z20" s="7" t="str">
        <f>INDEX('Brown tagset'!$B:$B,MATCH(IF(ISERROR(FIND("-",Y20)),IF(ISERROR(FIND("+",Y20)),Y20,LEFT(Y20,FIND("+",Y20)-1)),LEFT(Y20,FIND("-",Y20)-1)),'Brown tagset'!$A:$A,0))</f>
        <v>qualifier (very, fairly)</v>
      </c>
      <c r="AA20" s="7"/>
      <c r="AB20" s="7" t="str">
        <f>INDEX('Brown-Universal mapping'!$B:$B,MATCH(Y20,'Brown-Universal mapping'!$A:$A,0))</f>
        <v>ADV</v>
      </c>
      <c r="AC20" s="7">
        <f>IF(Y20=$D20,1,0)</f>
        <v>1</v>
      </c>
      <c r="AD20" s="7">
        <f>IF(AB20=$G20,1,0)</f>
        <v>1</v>
      </c>
      <c r="AF20" s="8" t="s">
        <v>1</v>
      </c>
      <c r="AG20" s="9" t="str">
        <f>INDEX('Brown tagset'!$B:$B,MATCH(IF(ISERROR(FIND("-",AF20)),IF(ISERROR(FIND("+",AF20)),AF20,LEFT(AF20,FIND("+",AF20)-1)),LEFT(AF20,FIND("-",AF20)-1)),'Brown tagset'!$A:$A,0))</f>
        <v>qualifier (very, fairly)</v>
      </c>
      <c r="AH20" s="8" t="s">
        <v>2</v>
      </c>
      <c r="AI20" s="9" t="str">
        <f>INDEX('Brown-Universal mapping'!$B:$B,MATCH(AF20,'Brown-Universal mapping'!$A:$A,0))</f>
        <v>ADV</v>
      </c>
      <c r="AJ20" s="9">
        <f>IF(AF20=$D20,1,0)</f>
        <v>1</v>
      </c>
      <c r="AK20" s="9">
        <f>IF(AI20=$G20,1,0)</f>
        <v>1</v>
      </c>
      <c r="AM20" s="6">
        <f>M20+AC20+AJ20</f>
        <v>3</v>
      </c>
      <c r="AN20" s="6">
        <f>N20+AD20+AK20</f>
        <v>3</v>
      </c>
      <c r="AP20" s="6" t="str">
        <f>AG20&amp;AM20</f>
        <v>qualifier (very, fairly)3</v>
      </c>
    </row>
    <row r="21" spans="1:42" x14ac:dyDescent="0.25">
      <c r="A21" s="4" t="s">
        <v>3</v>
      </c>
      <c r="C21" s="4">
        <v>1</v>
      </c>
      <c r="D21" s="3" t="s">
        <v>4</v>
      </c>
      <c r="E21" s="3" t="str">
        <f>INDEX('Brown tagset'!$B:$B,MATCH(IF(ISERROR(FIND("-",D21)),IF(ISERROR(FIND("+",D21)),D21,LEFT(D21,FIND("+",D21)-1)),LEFT(D21,FIND("-",D21)-1)),'Brown tagset'!$A:$A,0))</f>
        <v>adverb</v>
      </c>
      <c r="F21" s="3"/>
      <c r="G21" s="3" t="str">
        <f>INDEX('Brown-Universal mapping'!$B:$B,MATCH(D21,'Brown-Universal mapping'!$A:$A,0))</f>
        <v>ADV</v>
      </c>
      <c r="I21" s="5" t="s">
        <v>4</v>
      </c>
      <c r="J21" s="5" t="str">
        <f>INDEX('Brown tagset'!$B:$B,MATCH(IF(ISERROR(FIND("-",I21)),IF(ISERROR(FIND("+",I21)),I21,LEFT(I21,FIND("+",I21)-1)),LEFT(I21,FIND("-",I21)-1)),'Brown tagset'!$A:$A,0))</f>
        <v>adverb</v>
      </c>
      <c r="K21" s="5" t="s">
        <v>5</v>
      </c>
      <c r="L21" s="5" t="str">
        <f>INDEX('Brown-Universal mapping'!$B:$B,MATCH(I21,'Brown-Universal mapping'!$A:$A,0))</f>
        <v>ADV</v>
      </c>
      <c r="M21" s="5">
        <f t="shared" ref="M21:M81" si="0">IF(I21=$D21,1,0)</f>
        <v>1</v>
      </c>
      <c r="N21" s="5">
        <f t="shared" ref="N21:N81" si="1">IF(L21=$G21,1,0)</f>
        <v>1</v>
      </c>
      <c r="P21" s="12" t="s">
        <v>3</v>
      </c>
      <c r="Q21" s="7" t="s">
        <v>288</v>
      </c>
      <c r="R21" s="7" t="str">
        <f>INDEX('Brown tagset'!$B:$B,MATCH(IF(ISERROR(FIND("-",Q21)),IF(ISERROR(FIND("+",Q21)),Q21,LEFT(Q21,FIND("+",Q21)-1)),LEFT(Q21,FIND("-",Q21)-1)),'Brown tagset'!$A:$A,0))</f>
        <v>adverb</v>
      </c>
      <c r="S21" s="7"/>
      <c r="T21" s="7" t="str">
        <f>INDEX('Brown-Universal mapping'!$B:$B,MATCH(Q21,'Brown-Universal mapping'!$A:$A,0))</f>
        <v>ADV</v>
      </c>
      <c r="U21" s="7">
        <f t="shared" ref="U21:U81" si="2">IF(Q21=$D21,1,0)</f>
        <v>1</v>
      </c>
      <c r="V21" s="7">
        <f t="shared" ref="V21:V81" si="3">IF(T21=$G21,1,0)</f>
        <v>1</v>
      </c>
      <c r="X21" s="12" t="s">
        <v>3</v>
      </c>
      <c r="Y21" s="7" t="s">
        <v>288</v>
      </c>
      <c r="Z21" s="7" t="str">
        <f>INDEX('Brown tagset'!$B:$B,MATCH(IF(ISERROR(FIND("-",Y21)),IF(ISERROR(FIND("+",Y21)),Y21,LEFT(Y21,FIND("+",Y21)-1)),LEFT(Y21,FIND("-",Y21)-1)),'Brown tagset'!$A:$A,0))</f>
        <v>adverb</v>
      </c>
      <c r="AA21" s="7"/>
      <c r="AB21" s="7" t="str">
        <f>INDEX('Brown-Universal mapping'!$B:$B,MATCH(Y21,'Brown-Universal mapping'!$A:$A,0))</f>
        <v>ADV</v>
      </c>
      <c r="AC21" s="7">
        <f t="shared" ref="AC21:AC84" si="4">IF(Y21=$D21,1,0)</f>
        <v>1</v>
      </c>
      <c r="AD21" s="7">
        <f t="shared" ref="AD21:AD84" si="5">IF(AB21=$G21,1,0)</f>
        <v>1</v>
      </c>
      <c r="AF21" s="9" t="s">
        <v>4</v>
      </c>
      <c r="AG21" s="9" t="str">
        <f>INDEX('Brown tagset'!$B:$B,MATCH(IF(ISERROR(FIND("-",AF21)),IF(ISERROR(FIND("+",AF21)),AF21,LEFT(AF21,FIND("+",AF21)-1)),LEFT(AF21,FIND("-",AF21)-1)),'Brown tagset'!$A:$A,0))</f>
        <v>adverb</v>
      </c>
      <c r="AH21" s="9" t="s">
        <v>5</v>
      </c>
      <c r="AI21" s="9" t="str">
        <f>INDEX('Brown-Universal mapping'!$B:$B,MATCH(AF21,'Brown-Universal mapping'!$A:$A,0))</f>
        <v>ADV</v>
      </c>
      <c r="AJ21" s="9">
        <f t="shared" ref="AJ21:AJ81" si="6">IF(AF21=$D21,1,0)</f>
        <v>1</v>
      </c>
      <c r="AK21" s="9">
        <f t="shared" ref="AK21:AK81" si="7">IF(AI21=$G21,1,0)</f>
        <v>1</v>
      </c>
      <c r="AM21" s="6">
        <f t="shared" ref="AM21:AM84" si="8">M21+AC21+AJ21</f>
        <v>3</v>
      </c>
      <c r="AN21" s="6">
        <f t="shared" ref="AN21:AN84" si="9">N21+AD21+AK21</f>
        <v>3</v>
      </c>
      <c r="AP21" s="6" t="str">
        <f t="shared" ref="AP21:AP84" si="10">AG21&amp;AM21</f>
        <v>adverb3</v>
      </c>
    </row>
    <row r="22" spans="1:42" x14ac:dyDescent="0.25">
      <c r="A22" s="4" t="s">
        <v>6</v>
      </c>
      <c r="D22" s="3" t="s">
        <v>7</v>
      </c>
      <c r="E22" s="3" t="str">
        <f>INDEX('Brown tagset'!$B:$B,MATCH(IF(ISERROR(FIND("-",D22)),IF(ISERROR(FIND("+",D22)),D22,LEFT(D22,FIND("+",D22)-1)),LEFT(D22,FIND("-",D22)-1)),'Brown tagset'!$A:$A,0))</f>
        <v>article (a, the, no)</v>
      </c>
      <c r="F22" s="3"/>
      <c r="G22" s="3" t="str">
        <f>INDEX('Brown-Universal mapping'!$B:$B,MATCH(D22,'Brown-Universal mapping'!$A:$A,0))</f>
        <v>DET</v>
      </c>
      <c r="I22" s="5" t="s">
        <v>7</v>
      </c>
      <c r="J22" s="5" t="str">
        <f>INDEX('Brown tagset'!$B:$B,MATCH(IF(ISERROR(FIND("-",I22)),IF(ISERROR(FIND("+",I22)),I22,LEFT(I22,FIND("+",I22)-1)),LEFT(I22,FIND("-",I22)-1)),'Brown tagset'!$A:$A,0))</f>
        <v>article (a, the, no)</v>
      </c>
      <c r="K22" s="5" t="s">
        <v>2</v>
      </c>
      <c r="L22" s="5" t="str">
        <f>INDEX('Brown-Universal mapping'!$B:$B,MATCH(I22,'Brown-Universal mapping'!$A:$A,0))</f>
        <v>DET</v>
      </c>
      <c r="M22" s="5">
        <f t="shared" si="0"/>
        <v>1</v>
      </c>
      <c r="N22" s="5">
        <f t="shared" si="1"/>
        <v>1</v>
      </c>
      <c r="P22" s="12" t="s">
        <v>6</v>
      </c>
      <c r="Q22" s="7" t="s">
        <v>89</v>
      </c>
      <c r="R22" s="7" t="str">
        <f>INDEX('Brown tagset'!$B:$B,MATCH(IF(ISERROR(FIND("-",Q22)),IF(ISERROR(FIND("+",Q22)),Q22,LEFT(Q22,FIND("+",Q22)-1)),LEFT(Q22,FIND("-",Q22)-1)),'Brown tagset'!$A:$A,0))</f>
        <v>article (a, the, no)</v>
      </c>
      <c r="S22" s="7"/>
      <c r="T22" s="7" t="str">
        <f>INDEX('Brown-Universal mapping'!$B:$B,MATCH(Q22,'Brown-Universal mapping'!$A:$A,0))</f>
        <v>DET</v>
      </c>
      <c r="U22" s="7">
        <f t="shared" si="2"/>
        <v>1</v>
      </c>
      <c r="V22" s="7">
        <f t="shared" si="3"/>
        <v>1</v>
      </c>
      <c r="X22" s="12" t="s">
        <v>6</v>
      </c>
      <c r="Y22" s="7" t="s">
        <v>89</v>
      </c>
      <c r="Z22" s="7" t="str">
        <f>INDEX('Brown tagset'!$B:$B,MATCH(IF(ISERROR(FIND("-",Y22)),IF(ISERROR(FIND("+",Y22)),Y22,LEFT(Y22,FIND("+",Y22)-1)),LEFT(Y22,FIND("-",Y22)-1)),'Brown tagset'!$A:$A,0))</f>
        <v>article (a, the, no)</v>
      </c>
      <c r="AA22" s="7"/>
      <c r="AB22" s="7" t="str">
        <f>INDEX('Brown-Universal mapping'!$B:$B,MATCH(Y22,'Brown-Universal mapping'!$A:$A,0))</f>
        <v>DET</v>
      </c>
      <c r="AC22" s="7">
        <f t="shared" si="4"/>
        <v>1</v>
      </c>
      <c r="AD22" s="7">
        <f t="shared" si="5"/>
        <v>1</v>
      </c>
      <c r="AF22" s="9" t="s">
        <v>7</v>
      </c>
      <c r="AG22" s="9" t="str">
        <f>INDEX('Brown tagset'!$B:$B,MATCH(IF(ISERROR(FIND("-",AF22)),IF(ISERROR(FIND("+",AF22)),AF22,LEFT(AF22,FIND("+",AF22)-1)),LEFT(AF22,FIND("-",AF22)-1)),'Brown tagset'!$A:$A,0))</f>
        <v>article (a, the, no)</v>
      </c>
      <c r="AH22" s="9" t="s">
        <v>2</v>
      </c>
      <c r="AI22" s="9" t="str">
        <f>INDEX('Brown-Universal mapping'!$B:$B,MATCH(AF22,'Brown-Universal mapping'!$A:$A,0))</f>
        <v>DET</v>
      </c>
      <c r="AJ22" s="9">
        <f t="shared" si="6"/>
        <v>1</v>
      </c>
      <c r="AK22" s="9">
        <f t="shared" si="7"/>
        <v>1</v>
      </c>
      <c r="AM22" s="6">
        <f t="shared" si="8"/>
        <v>3</v>
      </c>
      <c r="AN22" s="6">
        <f t="shared" si="9"/>
        <v>3</v>
      </c>
      <c r="AP22" s="6" t="str">
        <f t="shared" si="10"/>
        <v>article (a, the, no)3</v>
      </c>
    </row>
    <row r="23" spans="1:42" x14ac:dyDescent="0.25">
      <c r="A23" s="4" t="s">
        <v>8</v>
      </c>
      <c r="D23" s="3" t="s">
        <v>9</v>
      </c>
      <c r="E23" s="3" t="str">
        <f>INDEX('Brown tagset'!$B:$B,MATCH(IF(ISERROR(FIND("-",D23)),IF(ISERROR(FIND("+",D23)),D23,LEFT(D23,FIND("+",D23)-1)),LEFT(D23,FIND("-",D23)-1)),'Brown tagset'!$A:$A,0))</f>
        <v>verb, present participle/gerund</v>
      </c>
      <c r="F23" s="3"/>
      <c r="G23" s="3" t="str">
        <f>INDEX('Brown-Universal mapping'!$B:$B,MATCH(D23,'Brown-Universal mapping'!$A:$A,0))</f>
        <v>VERB</v>
      </c>
      <c r="I23" s="5" t="s">
        <v>9</v>
      </c>
      <c r="J23" s="5" t="str">
        <f>INDEX('Brown tagset'!$B:$B,MATCH(IF(ISERROR(FIND("-",I23)),IF(ISERROR(FIND("+",I23)),I23,LEFT(I23,FIND("+",I23)-1)),LEFT(I23,FIND("-",I23)-1)),'Brown tagset'!$A:$A,0))</f>
        <v>verb, present participle/gerund</v>
      </c>
      <c r="K23" s="5" t="s">
        <v>10</v>
      </c>
      <c r="L23" s="5" t="str">
        <f>INDEX('Brown-Universal mapping'!$B:$B,MATCH(I23,'Brown-Universal mapping'!$A:$A,0))</f>
        <v>VERB</v>
      </c>
      <c r="M23" s="5">
        <f t="shared" si="0"/>
        <v>1</v>
      </c>
      <c r="N23" s="5">
        <f t="shared" si="1"/>
        <v>1</v>
      </c>
      <c r="P23" s="12" t="s">
        <v>8</v>
      </c>
      <c r="Q23" s="7" t="s">
        <v>289</v>
      </c>
      <c r="R23" s="7" t="str">
        <f>INDEX('Brown tagset'!$B:$B,MATCH(IF(ISERROR(FIND("-",Q23)),IF(ISERROR(FIND("+",Q23)),Q23,LEFT(Q23,FIND("+",Q23)-1)),LEFT(Q23,FIND("-",Q23)-1)),'Brown tagset'!$A:$A,0))</f>
        <v>singular or mass noun</v>
      </c>
      <c r="S23" s="7"/>
      <c r="T23" s="7" t="str">
        <f>INDEX('Brown-Universal mapping'!$B:$B,MATCH(Q23,'Brown-Universal mapping'!$A:$A,0))</f>
        <v>NOUN</v>
      </c>
      <c r="U23" s="7">
        <f t="shared" si="2"/>
        <v>0</v>
      </c>
      <c r="V23" s="7">
        <f t="shared" si="3"/>
        <v>0</v>
      </c>
      <c r="X23" s="12" t="s">
        <v>8</v>
      </c>
      <c r="Y23" s="7" t="s">
        <v>289</v>
      </c>
      <c r="Z23" s="7" t="str">
        <f>INDEX('Brown tagset'!$B:$B,MATCH(IF(ISERROR(FIND("-",Y23)),IF(ISERROR(FIND("+",Y23)),Y23,LEFT(Y23,FIND("+",Y23)-1)),LEFT(Y23,FIND("-",Y23)-1)),'Brown tagset'!$A:$A,0))</f>
        <v>singular or mass noun</v>
      </c>
      <c r="AA23" s="7"/>
      <c r="AB23" s="7" t="str">
        <f>INDEX('Brown-Universal mapping'!$B:$B,MATCH(Y23,'Brown-Universal mapping'!$A:$A,0))</f>
        <v>NOUN</v>
      </c>
      <c r="AC23" s="7">
        <f t="shared" si="4"/>
        <v>0</v>
      </c>
      <c r="AD23" s="7">
        <f t="shared" si="5"/>
        <v>0</v>
      </c>
      <c r="AF23" s="9" t="s">
        <v>12</v>
      </c>
      <c r="AG23" s="9" t="str">
        <f>INDEX('Brown tagset'!$B:$B,MATCH(IF(ISERROR(FIND("-",AF23)),IF(ISERROR(FIND("+",AF23)),AF23,LEFT(AF23,FIND("+",AF23)-1)),LEFT(AF23,FIND("-",AF23)-1)),'Brown tagset'!$A:$A,0))</f>
        <v>singular or mass noun</v>
      </c>
      <c r="AH23" s="9" t="s">
        <v>13</v>
      </c>
      <c r="AI23" s="9" t="str">
        <f>INDEX('Brown-Universal mapping'!$B:$B,MATCH(AF23,'Brown-Universal mapping'!$A:$A,0))</f>
        <v>NOUN</v>
      </c>
      <c r="AJ23" s="9">
        <f t="shared" si="6"/>
        <v>0</v>
      </c>
      <c r="AK23" s="9">
        <f t="shared" si="7"/>
        <v>0</v>
      </c>
      <c r="AM23" s="6">
        <f t="shared" si="8"/>
        <v>1</v>
      </c>
      <c r="AN23" s="6">
        <f t="shared" si="9"/>
        <v>1</v>
      </c>
      <c r="AP23" s="6" t="str">
        <f t="shared" si="10"/>
        <v>singular or mass noun1</v>
      </c>
    </row>
    <row r="24" spans="1:42" x14ac:dyDescent="0.25">
      <c r="A24" s="25" t="s">
        <v>11</v>
      </c>
      <c r="B24" s="25"/>
      <c r="D24" s="3" t="s">
        <v>12</v>
      </c>
      <c r="E24" s="3" t="str">
        <f>INDEX('Brown tagset'!$B:$B,MATCH(IF(ISERROR(FIND("-",D24)),IF(ISERROR(FIND("+",D24)),D24,LEFT(D24,FIND("+",D24)-1)),LEFT(D24,FIND("-",D24)-1)),'Brown tagset'!$A:$A,0))</f>
        <v>singular or mass noun</v>
      </c>
      <c r="F24" s="3"/>
      <c r="G24" s="3" t="str">
        <f>INDEX('Brown-Universal mapping'!$B:$B,MATCH(D24,'Brown-Universal mapping'!$A:$A,0))</f>
        <v>NOUN</v>
      </c>
      <c r="I24" s="5" t="s">
        <v>12</v>
      </c>
      <c r="J24" s="5" t="str">
        <f>INDEX('Brown tagset'!$B:$B,MATCH(IF(ISERROR(FIND("-",I24)),IF(ISERROR(FIND("+",I24)),I24,LEFT(I24,FIND("+",I24)-1)),LEFT(I24,FIND("-",I24)-1)),'Brown tagset'!$A:$A,0))</f>
        <v>singular or mass noun</v>
      </c>
      <c r="K24" s="5" t="s">
        <v>13</v>
      </c>
      <c r="L24" s="5" t="str">
        <f>INDEX('Brown-Universal mapping'!$B:$B,MATCH(I24,'Brown-Universal mapping'!$A:$A,0))</f>
        <v>NOUN</v>
      </c>
      <c r="M24" s="5">
        <f t="shared" si="0"/>
        <v>1</v>
      </c>
      <c r="N24" s="5">
        <f t="shared" si="1"/>
        <v>1</v>
      </c>
      <c r="P24" s="12" t="s">
        <v>11</v>
      </c>
      <c r="Q24" s="7" t="s">
        <v>289</v>
      </c>
      <c r="R24" s="7" t="str">
        <f>INDEX('Brown tagset'!$B:$B,MATCH(IF(ISERROR(FIND("-",Q24)),IF(ISERROR(FIND("+",Q24)),Q24,LEFT(Q24,FIND("+",Q24)-1)),LEFT(Q24,FIND("-",Q24)-1)),'Brown tagset'!$A:$A,0))</f>
        <v>singular or mass noun</v>
      </c>
      <c r="S24" s="7"/>
      <c r="T24" s="7" t="str">
        <f>INDEX('Brown-Universal mapping'!$B:$B,MATCH(Q24,'Brown-Universal mapping'!$A:$A,0))</f>
        <v>NOUN</v>
      </c>
      <c r="U24" s="7">
        <f t="shared" si="2"/>
        <v>1</v>
      </c>
      <c r="V24" s="7">
        <f t="shared" si="3"/>
        <v>1</v>
      </c>
      <c r="X24" s="12" t="s">
        <v>11</v>
      </c>
      <c r="Y24" s="7" t="s">
        <v>289</v>
      </c>
      <c r="Z24" s="7" t="str">
        <f>INDEX('Brown tagset'!$B:$B,MATCH(IF(ISERROR(FIND("-",Y24)),IF(ISERROR(FIND("+",Y24)),Y24,LEFT(Y24,FIND("+",Y24)-1)),LEFT(Y24,FIND("-",Y24)-1)),'Brown tagset'!$A:$A,0))</f>
        <v>singular or mass noun</v>
      </c>
      <c r="AA24" s="7"/>
      <c r="AB24" s="7" t="str">
        <f>INDEX('Brown-Universal mapping'!$B:$B,MATCH(Y24,'Brown-Universal mapping'!$A:$A,0))</f>
        <v>NOUN</v>
      </c>
      <c r="AC24" s="7">
        <f t="shared" si="4"/>
        <v>1</v>
      </c>
      <c r="AD24" s="7">
        <f t="shared" si="5"/>
        <v>1</v>
      </c>
      <c r="AF24" s="9" t="s">
        <v>340</v>
      </c>
      <c r="AG24" s="9" t="str">
        <f>INDEX('Brown tagset'!$B:$B,MATCH(IF(ISERROR(FIND("-",AF24)),IF(ISERROR(FIND("+",AF24)),AF24,LEFT(AF24,FIND("+",AF24)-1)),LEFT(AF24,FIND("-",AF24)-1)),'Brown tagset'!$A:$A,0))</f>
        <v>unknown</v>
      </c>
      <c r="AH24" s="9" t="s">
        <v>2</v>
      </c>
      <c r="AI24" s="9" t="str">
        <f>INDEX('Brown-Universal mapping'!$B:$B,MATCH(AF24,'Brown-Universal mapping'!$A:$A,0))</f>
        <v>Unknown</v>
      </c>
      <c r="AJ24" s="9">
        <f t="shared" si="6"/>
        <v>0</v>
      </c>
      <c r="AK24" s="9">
        <f t="shared" si="7"/>
        <v>0</v>
      </c>
      <c r="AM24" s="6">
        <f t="shared" si="8"/>
        <v>2</v>
      </c>
      <c r="AN24" s="6">
        <f t="shared" si="9"/>
        <v>2</v>
      </c>
      <c r="AP24" s="6" t="str">
        <f t="shared" si="10"/>
        <v>unknown2</v>
      </c>
    </row>
    <row r="25" spans="1:42" x14ac:dyDescent="0.25">
      <c r="A25" s="4" t="s">
        <v>14</v>
      </c>
      <c r="D25" s="3" t="s">
        <v>15</v>
      </c>
      <c r="E25" s="3" t="str">
        <f>INDEX('Brown tagset'!$B:$B,MATCH(IF(ISERROR(FIND("-",D25)),IF(ISERROR(FIND("+",D25)),D25,LEFT(D25,FIND("+",D25)-1)),LEFT(D25,FIND("-",D25)-1)),'Brown tagset'!$A:$A,0))</f>
        <v>has</v>
      </c>
      <c r="F25" s="3"/>
      <c r="G25" s="3" t="str">
        <f>INDEX('Brown-Universal mapping'!$B:$B,MATCH(D25,'Brown-Universal mapping'!$A:$A,0))</f>
        <v>VERB</v>
      </c>
      <c r="I25" s="5" t="s">
        <v>15</v>
      </c>
      <c r="J25" s="5" t="str">
        <f>INDEX('Brown tagset'!$B:$B,MATCH(IF(ISERROR(FIND("-",I25)),IF(ISERROR(FIND("+",I25)),I25,LEFT(I25,FIND("+",I25)-1)),LEFT(I25,FIND("-",I25)-1)),'Brown tagset'!$A:$A,0))</f>
        <v>has</v>
      </c>
      <c r="K25" s="5" t="s">
        <v>2</v>
      </c>
      <c r="L25" s="5" t="str">
        <f>INDEX('Brown-Universal mapping'!$B:$B,MATCH(I25,'Brown-Universal mapping'!$A:$A,0))</f>
        <v>VERB</v>
      </c>
      <c r="M25" s="5">
        <f t="shared" si="0"/>
        <v>1</v>
      </c>
      <c r="N25" s="5">
        <f t="shared" si="1"/>
        <v>1</v>
      </c>
      <c r="P25" s="12" t="s">
        <v>14</v>
      </c>
      <c r="Q25" s="7" t="s">
        <v>290</v>
      </c>
      <c r="R25" s="7" t="str">
        <f>INDEX('Brown tagset'!$B:$B,MATCH(IF(ISERROR(FIND("-",Q25)),IF(ISERROR(FIND("+",Q25)),Q25,LEFT(Q25,FIND("+",Q25)-1)),LEFT(Q25,FIND("-",Q25)-1)),'Brown tagset'!$A:$A,0))</f>
        <v>has</v>
      </c>
      <c r="S25" s="7"/>
      <c r="T25" s="7" t="str">
        <f>INDEX('Brown-Universal mapping'!$B:$B,MATCH(Q25,'Brown-Universal mapping'!$A:$A,0))</f>
        <v>VERB</v>
      </c>
      <c r="U25" s="7">
        <f t="shared" si="2"/>
        <v>1</v>
      </c>
      <c r="V25" s="7">
        <f t="shared" si="3"/>
        <v>1</v>
      </c>
      <c r="X25" s="12" t="s">
        <v>14</v>
      </c>
      <c r="Y25" s="7" t="s">
        <v>290</v>
      </c>
      <c r="Z25" s="7" t="str">
        <f>INDEX('Brown tagset'!$B:$B,MATCH(IF(ISERROR(FIND("-",Y25)),IF(ISERROR(FIND("+",Y25)),Y25,LEFT(Y25,FIND("+",Y25)-1)),LEFT(Y25,FIND("-",Y25)-1)),'Brown tagset'!$A:$A,0))</f>
        <v>has</v>
      </c>
      <c r="AA25" s="7"/>
      <c r="AB25" s="7" t="str">
        <f>INDEX('Brown-Universal mapping'!$B:$B,MATCH(Y25,'Brown-Universal mapping'!$A:$A,0))</f>
        <v>VERB</v>
      </c>
      <c r="AC25" s="7">
        <f t="shared" si="4"/>
        <v>1</v>
      </c>
      <c r="AD25" s="7">
        <f t="shared" si="5"/>
        <v>1</v>
      </c>
      <c r="AF25" s="9" t="s">
        <v>15</v>
      </c>
      <c r="AG25" s="9" t="str">
        <f>INDEX('Brown tagset'!$B:$B,MATCH(IF(ISERROR(FIND("-",AF25)),IF(ISERROR(FIND("+",AF25)),AF25,LEFT(AF25,FIND("+",AF25)-1)),LEFT(AF25,FIND("-",AF25)-1)),'Brown tagset'!$A:$A,0))</f>
        <v>has</v>
      </c>
      <c r="AH25" s="9" t="s">
        <v>2</v>
      </c>
      <c r="AI25" s="9" t="str">
        <f>INDEX('Brown-Universal mapping'!$B:$B,MATCH(AF25,'Brown-Universal mapping'!$A:$A,0))</f>
        <v>VERB</v>
      </c>
      <c r="AJ25" s="9">
        <f t="shared" si="6"/>
        <v>1</v>
      </c>
      <c r="AK25" s="9">
        <f t="shared" si="7"/>
        <v>1</v>
      </c>
      <c r="AM25" s="6">
        <f t="shared" si="8"/>
        <v>3</v>
      </c>
      <c r="AN25" s="6">
        <f t="shared" si="9"/>
        <v>3</v>
      </c>
      <c r="AP25" s="6" t="str">
        <f t="shared" si="10"/>
        <v>has3</v>
      </c>
    </row>
    <row r="26" spans="1:42" x14ac:dyDescent="0.25">
      <c r="A26" s="4" t="s">
        <v>16</v>
      </c>
      <c r="D26" s="3" t="s">
        <v>17</v>
      </c>
      <c r="E26" s="3" t="str">
        <f>INDEX('Brown tagset'!$B:$B,MATCH(IF(ISERROR(FIND("-",D26)),IF(ISERROR(FIND("+",D26)),D26,LEFT(D26,FIND("+",D26)-1)),LEFT(D26,FIND("-",D26)-1)),'Brown tagset'!$A:$A,0))</f>
        <v>infinitive marker to</v>
      </c>
      <c r="F26" s="3"/>
      <c r="G26" s="3" t="str">
        <f>INDEX('Brown-Universal mapping'!$B:$B,MATCH(D26,'Brown-Universal mapping'!$A:$A,0))</f>
        <v>PRT</v>
      </c>
      <c r="I26" s="5" t="s">
        <v>17</v>
      </c>
      <c r="J26" s="5" t="str">
        <f>INDEX('Brown tagset'!$B:$B,MATCH(IF(ISERROR(FIND("-",I26)),IF(ISERROR(FIND("+",I26)),I26,LEFT(I26,FIND("+",I26)-1)),LEFT(I26,FIND("-",I26)-1)),'Brown tagset'!$A:$A,0))</f>
        <v>infinitive marker to</v>
      </c>
      <c r="K26" s="5" t="s">
        <v>18</v>
      </c>
      <c r="L26" s="5" t="str">
        <f>INDEX('Brown-Universal mapping'!$B:$B,MATCH(I26,'Brown-Universal mapping'!$A:$A,0))</f>
        <v>PRT</v>
      </c>
      <c r="M26" s="5">
        <f t="shared" si="0"/>
        <v>1</v>
      </c>
      <c r="N26" s="5">
        <f t="shared" si="1"/>
        <v>1</v>
      </c>
      <c r="P26" s="12" t="s">
        <v>16</v>
      </c>
      <c r="Q26" s="7" t="s">
        <v>16</v>
      </c>
      <c r="R26" s="7" t="str">
        <f>INDEX('Brown tagset'!$B:$B,MATCH(IF(ISERROR(FIND("-",Q26)),IF(ISERROR(FIND("+",Q26)),Q26,LEFT(Q26,FIND("+",Q26)-1)),LEFT(Q26,FIND("-",Q26)-1)),'Brown tagset'!$A:$A,0))</f>
        <v>infinitive marker to</v>
      </c>
      <c r="S26" s="7"/>
      <c r="T26" s="7" t="str">
        <f>INDEX('Brown-Universal mapping'!$B:$B,MATCH(Q26,'Brown-Universal mapping'!$A:$A,0))</f>
        <v>PRT</v>
      </c>
      <c r="U26" s="7">
        <f t="shared" si="2"/>
        <v>1</v>
      </c>
      <c r="V26" s="7">
        <f t="shared" si="3"/>
        <v>1</v>
      </c>
      <c r="X26" s="12" t="s">
        <v>16</v>
      </c>
      <c r="Y26" s="7" t="s">
        <v>16</v>
      </c>
      <c r="Z26" s="7" t="str">
        <f>INDEX('Brown tagset'!$B:$B,MATCH(IF(ISERROR(FIND("-",Y26)),IF(ISERROR(FIND("+",Y26)),Y26,LEFT(Y26,FIND("+",Y26)-1)),LEFT(Y26,FIND("-",Y26)-1)),'Brown tagset'!$A:$A,0))</f>
        <v>infinitive marker to</v>
      </c>
      <c r="AA26" s="7"/>
      <c r="AB26" s="7" t="str">
        <f>INDEX('Brown-Universal mapping'!$B:$B,MATCH(Y26,'Brown-Universal mapping'!$A:$A,0))</f>
        <v>PRT</v>
      </c>
      <c r="AC26" s="7">
        <f t="shared" si="4"/>
        <v>1</v>
      </c>
      <c r="AD26" s="7">
        <f t="shared" si="5"/>
        <v>1</v>
      </c>
      <c r="AF26" s="9" t="s">
        <v>17</v>
      </c>
      <c r="AG26" s="9" t="str">
        <f>INDEX('Brown tagset'!$B:$B,MATCH(IF(ISERROR(FIND("-",AF26)),IF(ISERROR(FIND("+",AF26)),AF26,LEFT(AF26,FIND("+",AF26)-1)),LEFT(AF26,FIND("-",AF26)-1)),'Brown tagset'!$A:$A,0))</f>
        <v>infinitive marker to</v>
      </c>
      <c r="AH26" s="9" t="s">
        <v>18</v>
      </c>
      <c r="AI26" s="9" t="str">
        <f>INDEX('Brown-Universal mapping'!$B:$B,MATCH(AF26,'Brown-Universal mapping'!$A:$A,0))</f>
        <v>PRT</v>
      </c>
      <c r="AJ26" s="9">
        <f t="shared" si="6"/>
        <v>1</v>
      </c>
      <c r="AK26" s="9">
        <f t="shared" si="7"/>
        <v>1</v>
      </c>
      <c r="AM26" s="6">
        <f t="shared" si="8"/>
        <v>3</v>
      </c>
      <c r="AN26" s="6">
        <f t="shared" si="9"/>
        <v>3</v>
      </c>
      <c r="AP26" s="6" t="str">
        <f t="shared" si="10"/>
        <v>infinitive marker to3</v>
      </c>
    </row>
    <row r="27" spans="1:42" x14ac:dyDescent="0.25">
      <c r="A27" s="4" t="s">
        <v>19</v>
      </c>
      <c r="D27" s="3" t="s">
        <v>20</v>
      </c>
      <c r="E27" s="3" t="str">
        <f>INDEX('Brown tagset'!$B:$B,MATCH(IF(ISERROR(FIND("-",D27)),IF(ISERROR(FIND("+",D27)),D27,LEFT(D27,FIND("+",D27)-1)),LEFT(D27,FIND("-",D27)-1)),'Brown tagset'!$A:$A,0))</f>
        <v>do</v>
      </c>
      <c r="F27" s="3"/>
      <c r="G27" s="3" t="str">
        <f>INDEX('Brown-Universal mapping'!$B:$B,MATCH(D27,'Brown-Universal mapping'!$A:$A,0))</f>
        <v>VERB</v>
      </c>
      <c r="I27" s="5" t="s">
        <v>20</v>
      </c>
      <c r="J27" s="5" t="str">
        <f>INDEX('Brown tagset'!$B:$B,MATCH(IF(ISERROR(FIND("-",I27)),IF(ISERROR(FIND("+",I27)),I27,LEFT(I27,FIND("+",I27)-1)),LEFT(I27,FIND("-",I27)-1)),'Brown tagset'!$A:$A,0))</f>
        <v>do</v>
      </c>
      <c r="K27" s="5" t="s">
        <v>2</v>
      </c>
      <c r="L27" s="5" t="str">
        <f>INDEX('Brown-Universal mapping'!$B:$B,MATCH(I27,'Brown-Universal mapping'!$A:$A,0))</f>
        <v>VERB</v>
      </c>
      <c r="M27" s="5">
        <f t="shared" si="0"/>
        <v>1</v>
      </c>
      <c r="N27" s="5">
        <f t="shared" si="1"/>
        <v>1</v>
      </c>
      <c r="P27" s="12" t="s">
        <v>19</v>
      </c>
      <c r="Q27" s="7" t="s">
        <v>19</v>
      </c>
      <c r="R27" s="7" t="str">
        <f>INDEX('Brown tagset'!$B:$B,MATCH(IF(ISERROR(FIND("-",Q27)),IF(ISERROR(FIND("+",Q27)),Q27,LEFT(Q27,FIND("+",Q27)-1)),LEFT(Q27,FIND("-",Q27)-1)),'Brown tagset'!$A:$A,0))</f>
        <v>do</v>
      </c>
      <c r="S27" s="7"/>
      <c r="T27" s="7" t="str">
        <f>INDEX('Brown-Universal mapping'!$B:$B,MATCH(Q27,'Brown-Universal mapping'!$A:$A,0))</f>
        <v>VERB</v>
      </c>
      <c r="U27" s="7">
        <f t="shared" si="2"/>
        <v>1</v>
      </c>
      <c r="V27" s="7">
        <f t="shared" si="3"/>
        <v>1</v>
      </c>
      <c r="X27" s="12" t="s">
        <v>19</v>
      </c>
      <c r="Y27" s="7" t="s">
        <v>19</v>
      </c>
      <c r="Z27" s="7" t="str">
        <f>INDEX('Brown tagset'!$B:$B,MATCH(IF(ISERROR(FIND("-",Y27)),IF(ISERROR(FIND("+",Y27)),Y27,LEFT(Y27,FIND("+",Y27)-1)),LEFT(Y27,FIND("-",Y27)-1)),'Brown tagset'!$A:$A,0))</f>
        <v>do</v>
      </c>
      <c r="AA27" s="7"/>
      <c r="AB27" s="7" t="str">
        <f>INDEX('Brown-Universal mapping'!$B:$B,MATCH(Y27,'Brown-Universal mapping'!$A:$A,0))</f>
        <v>VERB</v>
      </c>
      <c r="AC27" s="7">
        <f t="shared" si="4"/>
        <v>1</v>
      </c>
      <c r="AD27" s="7">
        <f t="shared" si="5"/>
        <v>1</v>
      </c>
      <c r="AF27" s="9" t="s">
        <v>20</v>
      </c>
      <c r="AG27" s="9" t="str">
        <f>INDEX('Brown tagset'!$B:$B,MATCH(IF(ISERROR(FIND("-",AF27)),IF(ISERROR(FIND("+",AF27)),AF27,LEFT(AF27,FIND("+",AF27)-1)),LEFT(AF27,FIND("-",AF27)-1)),'Brown tagset'!$A:$A,0))</f>
        <v>do</v>
      </c>
      <c r="AH27" s="9" t="s">
        <v>2</v>
      </c>
      <c r="AI27" s="9" t="str">
        <f>INDEX('Brown-Universal mapping'!$B:$B,MATCH(AF27,'Brown-Universal mapping'!$A:$A,0))</f>
        <v>VERB</v>
      </c>
      <c r="AJ27" s="9">
        <f t="shared" si="6"/>
        <v>1</v>
      </c>
      <c r="AK27" s="9">
        <f t="shared" si="7"/>
        <v>1</v>
      </c>
      <c r="AM27" s="6">
        <f t="shared" si="8"/>
        <v>3</v>
      </c>
      <c r="AN27" s="6">
        <f t="shared" si="9"/>
        <v>3</v>
      </c>
      <c r="AP27" s="6" t="str">
        <f t="shared" si="10"/>
        <v>do3</v>
      </c>
    </row>
    <row r="28" spans="1:42" x14ac:dyDescent="0.25">
      <c r="A28" s="4" t="s">
        <v>21</v>
      </c>
      <c r="D28" s="3" t="s">
        <v>22</v>
      </c>
      <c r="E28" s="3" t="str">
        <f>INDEX('Brown tagset'!$B:$B,MATCH(IF(ISERROR(FIND("-",D28)),IF(ISERROR(FIND("+",D28)),D28,LEFT(D28,FIND("+",D28)-1)),LEFT(D28,FIND("-",D28)-1)),'Brown tagset'!$A:$A,0))</f>
        <v>possessive personal pronoun (my, our)</v>
      </c>
      <c r="F28" s="3"/>
      <c r="G28" s="3" t="str">
        <f>INDEX('Brown-Universal mapping'!$B:$B,MATCH(D28,'Brown-Universal mapping'!$A:$A,0))</f>
        <v>DET</v>
      </c>
      <c r="I28" s="5" t="s">
        <v>22</v>
      </c>
      <c r="J28" s="5" t="str">
        <f>INDEX('Brown tagset'!$B:$B,MATCH(IF(ISERROR(FIND("-",I28)),IF(ISERROR(FIND("+",I28)),I28,LEFT(I28,FIND("+",I28)-1)),LEFT(I28,FIND("-",I28)-1)),'Brown tagset'!$A:$A,0))</f>
        <v>possessive personal pronoun (my, our)</v>
      </c>
      <c r="K28" s="5" t="s">
        <v>2</v>
      </c>
      <c r="L28" s="5" t="str">
        <f>INDEX('Brown-Universal mapping'!$B:$B,MATCH(I28,'Brown-Universal mapping'!$A:$A,0))</f>
        <v>DET</v>
      </c>
      <c r="M28" s="5">
        <f t="shared" si="0"/>
        <v>1</v>
      </c>
      <c r="N28" s="5">
        <f t="shared" si="1"/>
        <v>1</v>
      </c>
      <c r="P28" s="12" t="s">
        <v>21</v>
      </c>
      <c r="Q28" s="7" t="s">
        <v>291</v>
      </c>
      <c r="R28" s="7" t="str">
        <f>INDEX('Brown tagset'!$B:$B,MATCH(IF(ISERROR(FIND("-",Q28)),IF(ISERROR(FIND("+",Q28)),Q28,LEFT(Q28,FIND("+",Q28)-1)),LEFT(Q28,FIND("-",Q28)-1)),'Brown tagset'!$A:$A,0))</f>
        <v>possessive personal pronoun (my, our)</v>
      </c>
      <c r="S28" s="7"/>
      <c r="T28" s="7" t="str">
        <f>INDEX('Brown-Universal mapping'!$B:$B,MATCH(Q28,'Brown-Universal mapping'!$A:$A,0))</f>
        <v>DET</v>
      </c>
      <c r="U28" s="7">
        <f t="shared" si="2"/>
        <v>1</v>
      </c>
      <c r="V28" s="7">
        <f t="shared" si="3"/>
        <v>1</v>
      </c>
      <c r="X28" s="12" t="s">
        <v>21</v>
      </c>
      <c r="Y28" s="7" t="s">
        <v>291</v>
      </c>
      <c r="Z28" s="7" t="str">
        <f>INDEX('Brown tagset'!$B:$B,MATCH(IF(ISERROR(FIND("-",Y28)),IF(ISERROR(FIND("+",Y28)),Y28,LEFT(Y28,FIND("+",Y28)-1)),LEFT(Y28,FIND("-",Y28)-1)),'Brown tagset'!$A:$A,0))</f>
        <v>possessive personal pronoun (my, our)</v>
      </c>
      <c r="AA28" s="7"/>
      <c r="AB28" s="7" t="str">
        <f>INDEX('Brown-Universal mapping'!$B:$B,MATCH(Y28,'Brown-Universal mapping'!$A:$A,0))</f>
        <v>DET</v>
      </c>
      <c r="AC28" s="7">
        <f t="shared" si="4"/>
        <v>1</v>
      </c>
      <c r="AD28" s="7">
        <f t="shared" si="5"/>
        <v>1</v>
      </c>
      <c r="AF28" s="9" t="s">
        <v>22</v>
      </c>
      <c r="AG28" s="9" t="str">
        <f>INDEX('Brown tagset'!$B:$B,MATCH(IF(ISERROR(FIND("-",AF28)),IF(ISERROR(FIND("+",AF28)),AF28,LEFT(AF28,FIND("+",AF28)-1)),LEFT(AF28,FIND("-",AF28)-1)),'Brown tagset'!$A:$A,0))</f>
        <v>possessive personal pronoun (my, our)</v>
      </c>
      <c r="AH28" s="9" t="s">
        <v>2</v>
      </c>
      <c r="AI28" s="9" t="str">
        <f>INDEX('Brown-Universal mapping'!$B:$B,MATCH(AF28,'Brown-Universal mapping'!$A:$A,0))</f>
        <v>DET</v>
      </c>
      <c r="AJ28" s="9">
        <f t="shared" si="6"/>
        <v>1</v>
      </c>
      <c r="AK28" s="9">
        <f t="shared" si="7"/>
        <v>1</v>
      </c>
      <c r="AM28" s="6">
        <f t="shared" si="8"/>
        <v>3</v>
      </c>
      <c r="AN28" s="6">
        <f t="shared" si="9"/>
        <v>3</v>
      </c>
      <c r="AP28" s="6" t="str">
        <f t="shared" si="10"/>
        <v>possessive personal pronoun (my, our)3</v>
      </c>
    </row>
    <row r="29" spans="1:42" x14ac:dyDescent="0.25">
      <c r="A29" s="4" t="s">
        <v>23</v>
      </c>
      <c r="D29" s="3" t="s">
        <v>12</v>
      </c>
      <c r="E29" s="3" t="str">
        <f>INDEX('Brown tagset'!$B:$B,MATCH(IF(ISERROR(FIND("-",D29)),IF(ISERROR(FIND("+",D29)),D29,LEFT(D29,FIND("+",D29)-1)),LEFT(D29,FIND("-",D29)-1)),'Brown tagset'!$A:$A,0))</f>
        <v>singular or mass noun</v>
      </c>
      <c r="F29" s="3"/>
      <c r="G29" s="3" t="str">
        <f>INDEX('Brown-Universal mapping'!$B:$B,MATCH(D29,'Brown-Universal mapping'!$A:$A,0))</f>
        <v>NOUN</v>
      </c>
      <c r="I29" s="5" t="s">
        <v>9</v>
      </c>
      <c r="J29" s="5" t="str">
        <f>INDEX('Brown tagset'!$B:$B,MATCH(IF(ISERROR(FIND("-",I29)),IF(ISERROR(FIND("+",I29)),I29,LEFT(I29,FIND("+",I29)-1)),LEFT(I29,FIND("-",I29)-1)),'Brown tagset'!$A:$A,0))</f>
        <v>verb, present participle/gerund</v>
      </c>
      <c r="K29" s="5" t="s">
        <v>10</v>
      </c>
      <c r="L29" s="5" t="str">
        <f>INDEX('Brown-Universal mapping'!$B:$B,MATCH(I29,'Brown-Universal mapping'!$A:$A,0))</f>
        <v>VERB</v>
      </c>
      <c r="M29" s="5">
        <f t="shared" si="0"/>
        <v>0</v>
      </c>
      <c r="N29" s="5">
        <f t="shared" si="1"/>
        <v>0</v>
      </c>
      <c r="P29" s="12" t="s">
        <v>23</v>
      </c>
      <c r="Q29" s="7" t="s">
        <v>292</v>
      </c>
      <c r="R29" s="7" t="str">
        <f>INDEX('Brown tagset'!$B:$B,MATCH(IF(ISERROR(FIND("-",Q29)),IF(ISERROR(FIND("+",Q29)),Q29,LEFT(Q29,FIND("+",Q29)-1)),LEFT(Q29,FIND("-",Q29)-1)),'Brown tagset'!$A:$A,0))</f>
        <v>verb, present participle/gerund</v>
      </c>
      <c r="S29" s="7"/>
      <c r="T29" s="7" t="str">
        <f>INDEX('Brown-Universal mapping'!$B:$B,MATCH(Q29,'Brown-Universal mapping'!$A:$A,0))</f>
        <v>VERB</v>
      </c>
      <c r="U29" s="7">
        <f t="shared" si="2"/>
        <v>0</v>
      </c>
      <c r="V29" s="7">
        <f t="shared" si="3"/>
        <v>0</v>
      </c>
      <c r="X29" s="12" t="s">
        <v>23</v>
      </c>
      <c r="Y29" s="7" t="s">
        <v>289</v>
      </c>
      <c r="Z29" s="7" t="str">
        <f>INDEX('Brown tagset'!$B:$B,MATCH(IF(ISERROR(FIND("-",Y29)),IF(ISERROR(FIND("+",Y29)),Y29,LEFT(Y29,FIND("+",Y29)-1)),LEFT(Y29,FIND("-",Y29)-1)),'Brown tagset'!$A:$A,0))</f>
        <v>singular or mass noun</v>
      </c>
      <c r="AA29" s="7"/>
      <c r="AB29" s="7" t="str">
        <f>INDEX('Brown-Universal mapping'!$B:$B,MATCH(Y29,'Brown-Universal mapping'!$A:$A,0))</f>
        <v>NOUN</v>
      </c>
      <c r="AC29" s="7">
        <f t="shared" si="4"/>
        <v>1</v>
      </c>
      <c r="AD29" s="7">
        <f t="shared" si="5"/>
        <v>1</v>
      </c>
      <c r="AF29" s="9" t="s">
        <v>9</v>
      </c>
      <c r="AG29" s="9" t="str">
        <f>INDEX('Brown tagset'!$B:$B,MATCH(IF(ISERROR(FIND("-",AF29)),IF(ISERROR(FIND("+",AF29)),AF29,LEFT(AF29,FIND("+",AF29)-1)),LEFT(AF29,FIND("-",AF29)-1)),'Brown tagset'!$A:$A,0))</f>
        <v>verb, present participle/gerund</v>
      </c>
      <c r="AH29" s="9" t="s">
        <v>10</v>
      </c>
      <c r="AI29" s="9" t="str">
        <f>INDEX('Brown-Universal mapping'!$B:$B,MATCH(AF29,'Brown-Universal mapping'!$A:$A,0))</f>
        <v>VERB</v>
      </c>
      <c r="AJ29" s="9">
        <f t="shared" si="6"/>
        <v>0</v>
      </c>
      <c r="AK29" s="9">
        <f t="shared" si="7"/>
        <v>0</v>
      </c>
      <c r="AM29" s="6">
        <f t="shared" si="8"/>
        <v>1</v>
      </c>
      <c r="AN29" s="6">
        <f t="shared" si="9"/>
        <v>1</v>
      </c>
      <c r="AP29" s="6" t="str">
        <f t="shared" si="10"/>
        <v>verb, present participle/gerund1</v>
      </c>
    </row>
    <row r="30" spans="1:42" x14ac:dyDescent="0.25">
      <c r="A30" s="4" t="s">
        <v>24</v>
      </c>
      <c r="C30" s="4">
        <v>1</v>
      </c>
      <c r="D30" s="3" t="s">
        <v>4</v>
      </c>
      <c r="E30" s="3" t="str">
        <f>INDEX('Brown tagset'!$B:$B,MATCH(IF(ISERROR(FIND("-",D30)),IF(ISERROR(FIND("+",D30)),D30,LEFT(D30,FIND("+",D30)-1)),LEFT(D30,FIND("-",D30)-1)),'Brown tagset'!$A:$A,0))</f>
        <v>adverb</v>
      </c>
      <c r="F30" s="3"/>
      <c r="G30" s="3" t="str">
        <f>INDEX('Brown-Universal mapping'!$B:$B,MATCH(D30,'Brown-Universal mapping'!$A:$A,0))</f>
        <v>ADV</v>
      </c>
      <c r="I30" s="5" t="s">
        <v>4</v>
      </c>
      <c r="J30" s="5" t="str">
        <f>INDEX('Brown tagset'!$B:$B,MATCH(IF(ISERROR(FIND("-",I30)),IF(ISERROR(FIND("+",I30)),I30,LEFT(I30,FIND("+",I30)-1)),LEFT(I30,FIND("-",I30)-1)),'Brown tagset'!$A:$A,0))</f>
        <v>adverb</v>
      </c>
      <c r="K30" s="5" t="s">
        <v>5</v>
      </c>
      <c r="L30" s="5" t="str">
        <f>INDEX('Brown-Universal mapping'!$B:$B,MATCH(I30,'Brown-Universal mapping'!$A:$A,0))</f>
        <v>ADV</v>
      </c>
      <c r="M30" s="5">
        <f t="shared" si="0"/>
        <v>1</v>
      </c>
      <c r="N30" s="5">
        <f t="shared" si="1"/>
        <v>1</v>
      </c>
      <c r="P30" s="12" t="s">
        <v>24</v>
      </c>
      <c r="Q30" s="7" t="s">
        <v>288</v>
      </c>
      <c r="R30" s="7" t="str">
        <f>INDEX('Brown tagset'!$B:$B,MATCH(IF(ISERROR(FIND("-",Q30)),IF(ISERROR(FIND("+",Q30)),Q30,LEFT(Q30,FIND("+",Q30)-1)),LEFT(Q30,FIND("-",Q30)-1)),'Brown tagset'!$A:$A,0))</f>
        <v>adverb</v>
      </c>
      <c r="S30" s="7"/>
      <c r="T30" s="7" t="str">
        <f>INDEX('Brown-Universal mapping'!$B:$B,MATCH(Q30,'Brown-Universal mapping'!$A:$A,0))</f>
        <v>ADV</v>
      </c>
      <c r="U30" s="7">
        <f t="shared" si="2"/>
        <v>1</v>
      </c>
      <c r="V30" s="7">
        <f t="shared" si="3"/>
        <v>1</v>
      </c>
      <c r="X30" s="12" t="s">
        <v>24</v>
      </c>
      <c r="Y30" s="7" t="s">
        <v>288</v>
      </c>
      <c r="Z30" s="7" t="str">
        <f>INDEX('Brown tagset'!$B:$B,MATCH(IF(ISERROR(FIND("-",Y30)),IF(ISERROR(FIND("+",Y30)),Y30,LEFT(Y30,FIND("+",Y30)-1)),LEFT(Y30,FIND("-",Y30)-1)),'Brown tagset'!$A:$A,0))</f>
        <v>adverb</v>
      </c>
      <c r="AA30" s="7"/>
      <c r="AB30" s="7" t="str">
        <f>INDEX('Brown-Universal mapping'!$B:$B,MATCH(Y30,'Brown-Universal mapping'!$A:$A,0))</f>
        <v>ADV</v>
      </c>
      <c r="AC30" s="7">
        <f t="shared" si="4"/>
        <v>1</v>
      </c>
      <c r="AD30" s="7">
        <f t="shared" si="5"/>
        <v>1</v>
      </c>
      <c r="AF30" s="9" t="s">
        <v>4</v>
      </c>
      <c r="AG30" s="9" t="str">
        <f>INDEX('Brown tagset'!$B:$B,MATCH(IF(ISERROR(FIND("-",AF30)),IF(ISERROR(FIND("+",AF30)),AF30,LEFT(AF30,FIND("+",AF30)-1)),LEFT(AF30,FIND("-",AF30)-1)),'Brown tagset'!$A:$A,0))</f>
        <v>adverb</v>
      </c>
      <c r="AH30" s="9" t="s">
        <v>5</v>
      </c>
      <c r="AI30" s="9" t="str">
        <f>INDEX('Brown-Universal mapping'!$B:$B,MATCH(AF30,'Brown-Universal mapping'!$A:$A,0))</f>
        <v>ADV</v>
      </c>
      <c r="AJ30" s="9">
        <f t="shared" si="6"/>
        <v>1</v>
      </c>
      <c r="AK30" s="9">
        <f t="shared" si="7"/>
        <v>1</v>
      </c>
      <c r="AM30" s="6">
        <f t="shared" si="8"/>
        <v>3</v>
      </c>
      <c r="AN30" s="6">
        <f t="shared" si="9"/>
        <v>3</v>
      </c>
      <c r="AP30" s="6" t="str">
        <f t="shared" si="10"/>
        <v>adverb3</v>
      </c>
    </row>
    <row r="31" spans="1:42" x14ac:dyDescent="0.25">
      <c r="A31" s="4" t="s">
        <v>25</v>
      </c>
      <c r="D31" s="3" t="s">
        <v>26</v>
      </c>
      <c r="E31" s="3" t="str">
        <f>INDEX('Brown tagset'!$B:$B,MATCH(IF(ISERROR(FIND("-",D31)),IF(ISERROR(FIND("+",D31)),D31,LEFT(D31,FIND("+",D31)-1)),LEFT(D31,FIND("-",D31)-1)),'Brown tagset'!$A:$A,0))</f>
        <v>coordinating conjunction (and, or)</v>
      </c>
      <c r="F31" s="3"/>
      <c r="G31" s="3" t="str">
        <f>INDEX('Brown-Universal mapping'!$B:$B,MATCH(D31,'Brown-Universal mapping'!$A:$A,0))</f>
        <v>CONJ</v>
      </c>
      <c r="I31" s="5" t="s">
        <v>26</v>
      </c>
      <c r="J31" s="5" t="str">
        <f>INDEX('Brown tagset'!$B:$B,MATCH(IF(ISERROR(FIND("-",I31)),IF(ISERROR(FIND("+",I31)),I31,LEFT(I31,FIND("+",I31)-1)),LEFT(I31,FIND("-",I31)-1)),'Brown tagset'!$A:$A,0))</f>
        <v>coordinating conjunction (and, or)</v>
      </c>
      <c r="K31" s="5" t="s">
        <v>27</v>
      </c>
      <c r="L31" s="5" t="str">
        <f>INDEX('Brown-Universal mapping'!$B:$B,MATCH(I31,'Brown-Universal mapping'!$A:$A,0))</f>
        <v>CONJ</v>
      </c>
      <c r="M31" s="5">
        <f t="shared" si="0"/>
        <v>1</v>
      </c>
      <c r="N31" s="5">
        <f t="shared" si="1"/>
        <v>1</v>
      </c>
      <c r="P31" s="12" t="s">
        <v>25</v>
      </c>
      <c r="Q31" s="7" t="s">
        <v>293</v>
      </c>
      <c r="R31" s="7" t="str">
        <f>INDEX('Brown tagset'!$B:$B,MATCH(IF(ISERROR(FIND("-",Q31)),IF(ISERROR(FIND("+",Q31)),Q31,LEFT(Q31,FIND("+",Q31)-1)),LEFT(Q31,FIND("-",Q31)-1)),'Brown tagset'!$A:$A,0))</f>
        <v>coordinating conjunction (and, or)</v>
      </c>
      <c r="S31" s="7"/>
      <c r="T31" s="7" t="str">
        <f>INDEX('Brown-Universal mapping'!$B:$B,MATCH(Q31,'Brown-Universal mapping'!$A:$A,0))</f>
        <v>CONJ</v>
      </c>
      <c r="U31" s="7">
        <f t="shared" si="2"/>
        <v>1</v>
      </c>
      <c r="V31" s="7">
        <f t="shared" si="3"/>
        <v>1</v>
      </c>
      <c r="X31" s="12" t="s">
        <v>25</v>
      </c>
      <c r="Y31" s="7" t="s">
        <v>293</v>
      </c>
      <c r="Z31" s="7" t="str">
        <f>INDEX('Brown tagset'!$B:$B,MATCH(IF(ISERROR(FIND("-",Y31)),IF(ISERROR(FIND("+",Y31)),Y31,LEFT(Y31,FIND("+",Y31)-1)),LEFT(Y31,FIND("-",Y31)-1)),'Brown tagset'!$A:$A,0))</f>
        <v>coordinating conjunction (and, or)</v>
      </c>
      <c r="AA31" s="7"/>
      <c r="AB31" s="7" t="str">
        <f>INDEX('Brown-Universal mapping'!$B:$B,MATCH(Y31,'Brown-Universal mapping'!$A:$A,0))</f>
        <v>CONJ</v>
      </c>
      <c r="AC31" s="7">
        <f t="shared" si="4"/>
        <v>1</v>
      </c>
      <c r="AD31" s="7">
        <f t="shared" si="5"/>
        <v>1</v>
      </c>
      <c r="AF31" s="9" t="s">
        <v>26</v>
      </c>
      <c r="AG31" s="9" t="str">
        <f>INDEX('Brown tagset'!$B:$B,MATCH(IF(ISERROR(FIND("-",AF31)),IF(ISERROR(FIND("+",AF31)),AF31,LEFT(AF31,FIND("+",AF31)-1)),LEFT(AF31,FIND("-",AF31)-1)),'Brown tagset'!$A:$A,0))</f>
        <v>coordinating conjunction (and, or)</v>
      </c>
      <c r="AH31" s="9" t="s">
        <v>27</v>
      </c>
      <c r="AI31" s="9" t="str">
        <f>INDEX('Brown-Universal mapping'!$B:$B,MATCH(AF31,'Brown-Universal mapping'!$A:$A,0))</f>
        <v>CONJ</v>
      </c>
      <c r="AJ31" s="9">
        <f t="shared" si="6"/>
        <v>1</v>
      </c>
      <c r="AK31" s="9">
        <f t="shared" si="7"/>
        <v>1</v>
      </c>
      <c r="AM31" s="6">
        <f t="shared" si="8"/>
        <v>3</v>
      </c>
      <c r="AN31" s="6">
        <f t="shared" si="9"/>
        <v>3</v>
      </c>
      <c r="AP31" s="6" t="str">
        <f t="shared" si="10"/>
        <v>coordinating conjunction (and, or)3</v>
      </c>
    </row>
    <row r="32" spans="1:42" x14ac:dyDescent="0.25">
      <c r="A32" s="4" t="s">
        <v>28</v>
      </c>
      <c r="D32" s="3" t="s">
        <v>29</v>
      </c>
      <c r="E32" s="3" t="str">
        <f>INDEX('Brown tagset'!$B:$B,MATCH(IF(ISERROR(FIND("-",D32)),IF(ISERROR(FIND("+",D32)),D32,LEFT(D32,FIND("+",D32)-1)),LEFT(D32,FIND("-",D32)-1)),'Brown tagset'!$A:$A,0))</f>
        <v>subordinating conjunction (if, although)</v>
      </c>
      <c r="F32" s="3"/>
      <c r="G32" s="3" t="str">
        <f>INDEX('Brown-Universal mapping'!$B:$B,MATCH(D32,'Brown-Universal mapping'!$A:$A,0))</f>
        <v>ADP</v>
      </c>
      <c r="I32" s="5" t="s">
        <v>29</v>
      </c>
      <c r="J32" s="5" t="str">
        <f>INDEX('Brown tagset'!$B:$B,MATCH(IF(ISERROR(FIND("-",I32)),IF(ISERROR(FIND("+",I32)),I32,LEFT(I32,FIND("+",I32)-1)),LEFT(I32,FIND("-",I32)-1)),'Brown tagset'!$A:$A,0))</f>
        <v>subordinating conjunction (if, although)</v>
      </c>
      <c r="K32" s="5" t="s">
        <v>2</v>
      </c>
      <c r="L32" s="5" t="str">
        <f>INDEX('Brown-Universal mapping'!$B:$B,MATCH(I32,'Brown-Universal mapping'!$A:$A,0))</f>
        <v>ADP</v>
      </c>
      <c r="M32" s="5">
        <f t="shared" si="0"/>
        <v>1</v>
      </c>
      <c r="N32" s="5">
        <f t="shared" si="1"/>
        <v>1</v>
      </c>
      <c r="P32" s="12" t="s">
        <v>28</v>
      </c>
      <c r="Q32" s="7" t="s">
        <v>294</v>
      </c>
      <c r="R32" s="7" t="str">
        <f>INDEX('Brown tagset'!$B:$B,MATCH(IF(ISERROR(FIND("-",Q32)),IF(ISERROR(FIND("+",Q32)),Q32,LEFT(Q32,FIND("+",Q32)-1)),LEFT(Q32,FIND("-",Q32)-1)),'Brown tagset'!$A:$A,0))</f>
        <v>subordinating conjunction (if, although)</v>
      </c>
      <c r="S32" s="7"/>
      <c r="T32" s="7" t="str">
        <f>INDEX('Brown-Universal mapping'!$B:$B,MATCH(Q32,'Brown-Universal mapping'!$A:$A,0))</f>
        <v>ADP</v>
      </c>
      <c r="U32" s="7">
        <f t="shared" si="2"/>
        <v>1</v>
      </c>
      <c r="V32" s="7">
        <f t="shared" si="3"/>
        <v>1</v>
      </c>
      <c r="X32" s="12" t="s">
        <v>28</v>
      </c>
      <c r="Y32" s="7" t="s">
        <v>294</v>
      </c>
      <c r="Z32" s="7" t="str">
        <f>INDEX('Brown tagset'!$B:$B,MATCH(IF(ISERROR(FIND("-",Y32)),IF(ISERROR(FIND("+",Y32)),Y32,LEFT(Y32,FIND("+",Y32)-1)),LEFT(Y32,FIND("-",Y32)-1)),'Brown tagset'!$A:$A,0))</f>
        <v>subordinating conjunction (if, although)</v>
      </c>
      <c r="AA32" s="7"/>
      <c r="AB32" s="7" t="str">
        <f>INDEX('Brown-Universal mapping'!$B:$B,MATCH(Y32,'Brown-Universal mapping'!$A:$A,0))</f>
        <v>ADP</v>
      </c>
      <c r="AC32" s="7">
        <f t="shared" si="4"/>
        <v>1</v>
      </c>
      <c r="AD32" s="7">
        <f t="shared" si="5"/>
        <v>1</v>
      </c>
      <c r="AF32" s="9" t="s">
        <v>29</v>
      </c>
      <c r="AG32" s="9" t="str">
        <f>INDEX('Brown tagset'!$B:$B,MATCH(IF(ISERROR(FIND("-",AF32)),IF(ISERROR(FIND("+",AF32)),AF32,LEFT(AF32,FIND("+",AF32)-1)),LEFT(AF32,FIND("-",AF32)-1)),'Brown tagset'!$A:$A,0))</f>
        <v>subordinating conjunction (if, although)</v>
      </c>
      <c r="AH32" s="9" t="s">
        <v>2</v>
      </c>
      <c r="AI32" s="9" t="str">
        <f>INDEX('Brown-Universal mapping'!$B:$B,MATCH(AF32,'Brown-Universal mapping'!$A:$A,0))</f>
        <v>ADP</v>
      </c>
      <c r="AJ32" s="9">
        <f t="shared" si="6"/>
        <v>1</v>
      </c>
      <c r="AK32" s="9">
        <f t="shared" si="7"/>
        <v>1</v>
      </c>
      <c r="AM32" s="6">
        <f t="shared" si="8"/>
        <v>3</v>
      </c>
      <c r="AN32" s="6">
        <f t="shared" si="9"/>
        <v>3</v>
      </c>
      <c r="AP32" s="6" t="str">
        <f t="shared" si="10"/>
        <v>subordinating conjunction (if, although)3</v>
      </c>
    </row>
    <row r="33" spans="1:42" x14ac:dyDescent="0.25">
      <c r="A33" s="4" t="s">
        <v>21</v>
      </c>
      <c r="D33" s="3" t="s">
        <v>22</v>
      </c>
      <c r="E33" s="3" t="str">
        <f>INDEX('Brown tagset'!$B:$B,MATCH(IF(ISERROR(FIND("-",D33)),IF(ISERROR(FIND("+",D33)),D33,LEFT(D33,FIND("+",D33)-1)),LEFT(D33,FIND("-",D33)-1)),'Brown tagset'!$A:$A,0))</f>
        <v>possessive personal pronoun (my, our)</v>
      </c>
      <c r="F33" s="3"/>
      <c r="G33" s="3" t="str">
        <f>INDEX('Brown-Universal mapping'!$B:$B,MATCH(D33,'Brown-Universal mapping'!$A:$A,0))</f>
        <v>DET</v>
      </c>
      <c r="I33" s="5" t="s">
        <v>22</v>
      </c>
      <c r="J33" s="5" t="str">
        <f>INDEX('Brown tagset'!$B:$B,MATCH(IF(ISERROR(FIND("-",I33)),IF(ISERROR(FIND("+",I33)),I33,LEFT(I33,FIND("+",I33)-1)),LEFT(I33,FIND("-",I33)-1)),'Brown tagset'!$A:$A,0))</f>
        <v>possessive personal pronoun (my, our)</v>
      </c>
      <c r="K33" s="5" t="s">
        <v>2</v>
      </c>
      <c r="L33" s="5" t="str">
        <f>INDEX('Brown-Universal mapping'!$B:$B,MATCH(I33,'Brown-Universal mapping'!$A:$A,0))</f>
        <v>DET</v>
      </c>
      <c r="M33" s="5">
        <f t="shared" si="0"/>
        <v>1</v>
      </c>
      <c r="N33" s="5">
        <f t="shared" si="1"/>
        <v>1</v>
      </c>
      <c r="P33" s="12" t="s">
        <v>21</v>
      </c>
      <c r="Q33" s="7" t="s">
        <v>291</v>
      </c>
      <c r="R33" s="7" t="str">
        <f>INDEX('Brown tagset'!$B:$B,MATCH(IF(ISERROR(FIND("-",Q33)),IF(ISERROR(FIND("+",Q33)),Q33,LEFT(Q33,FIND("+",Q33)-1)),LEFT(Q33,FIND("-",Q33)-1)),'Brown tagset'!$A:$A,0))</f>
        <v>possessive personal pronoun (my, our)</v>
      </c>
      <c r="S33" s="7"/>
      <c r="T33" s="7" t="str">
        <f>INDEX('Brown-Universal mapping'!$B:$B,MATCH(Q33,'Brown-Universal mapping'!$A:$A,0))</f>
        <v>DET</v>
      </c>
      <c r="U33" s="7">
        <f t="shared" si="2"/>
        <v>1</v>
      </c>
      <c r="V33" s="7">
        <f t="shared" si="3"/>
        <v>1</v>
      </c>
      <c r="X33" s="12" t="s">
        <v>21</v>
      </c>
      <c r="Y33" s="7" t="s">
        <v>291</v>
      </c>
      <c r="Z33" s="7" t="str">
        <f>INDEX('Brown tagset'!$B:$B,MATCH(IF(ISERROR(FIND("-",Y33)),IF(ISERROR(FIND("+",Y33)),Y33,LEFT(Y33,FIND("+",Y33)-1)),LEFT(Y33,FIND("-",Y33)-1)),'Brown tagset'!$A:$A,0))</f>
        <v>possessive personal pronoun (my, our)</v>
      </c>
      <c r="AA33" s="7"/>
      <c r="AB33" s="7" t="str">
        <f>INDEX('Brown-Universal mapping'!$B:$B,MATCH(Y33,'Brown-Universal mapping'!$A:$A,0))</f>
        <v>DET</v>
      </c>
      <c r="AC33" s="7">
        <f t="shared" si="4"/>
        <v>1</v>
      </c>
      <c r="AD33" s="7">
        <f t="shared" si="5"/>
        <v>1</v>
      </c>
      <c r="AF33" s="9" t="s">
        <v>22</v>
      </c>
      <c r="AG33" s="9" t="str">
        <f>INDEX('Brown tagset'!$B:$B,MATCH(IF(ISERROR(FIND("-",AF33)),IF(ISERROR(FIND("+",AF33)),AF33,LEFT(AF33,FIND("+",AF33)-1)),LEFT(AF33,FIND("-",AF33)-1)),'Brown tagset'!$A:$A,0))</f>
        <v>possessive personal pronoun (my, our)</v>
      </c>
      <c r="AH33" s="9" t="s">
        <v>2</v>
      </c>
      <c r="AI33" s="9" t="str">
        <f>INDEX('Brown-Universal mapping'!$B:$B,MATCH(AF33,'Brown-Universal mapping'!$A:$A,0))</f>
        <v>DET</v>
      </c>
      <c r="AJ33" s="9">
        <f t="shared" si="6"/>
        <v>1</v>
      </c>
      <c r="AK33" s="9">
        <f t="shared" si="7"/>
        <v>1</v>
      </c>
      <c r="AM33" s="6">
        <f t="shared" si="8"/>
        <v>3</v>
      </c>
      <c r="AN33" s="6">
        <f t="shared" si="9"/>
        <v>3</v>
      </c>
      <c r="AP33" s="6" t="str">
        <f t="shared" si="10"/>
        <v>possessive personal pronoun (my, our)3</v>
      </c>
    </row>
    <row r="34" spans="1:42" x14ac:dyDescent="0.25">
      <c r="A34" s="4" t="s">
        <v>30</v>
      </c>
      <c r="D34" s="3" t="s">
        <v>31</v>
      </c>
      <c r="E34" s="3" t="str">
        <f>INDEX('Brown tagset'!$B:$B,MATCH(IF(ISERROR(FIND("-",D34)),IF(ISERROR(FIND("+",D34)),D34,LEFT(D34,FIND("+",D34)-1)),LEFT(D34,FIND("-",D34)-1)),'Brown tagset'!$A:$A,0))</f>
        <v>plural noun</v>
      </c>
      <c r="F34" s="3"/>
      <c r="G34" s="3" t="str">
        <f>INDEX('Brown-Universal mapping'!$B:$B,MATCH(D34,'Brown-Universal mapping'!$A:$A,0))</f>
        <v>NOUN</v>
      </c>
      <c r="I34" s="5" t="s">
        <v>31</v>
      </c>
      <c r="J34" s="5" t="str">
        <f>INDEX('Brown tagset'!$B:$B,MATCH(IF(ISERROR(FIND("-",I34)),IF(ISERROR(FIND("+",I34)),I34,LEFT(I34,FIND("+",I34)-1)),LEFT(I34,FIND("-",I34)-1)),'Brown tagset'!$A:$A,0))</f>
        <v>plural noun</v>
      </c>
      <c r="K34" s="5" t="s">
        <v>13</v>
      </c>
      <c r="L34" s="5" t="str">
        <f>INDEX('Brown-Universal mapping'!$B:$B,MATCH(I34,'Brown-Universal mapping'!$A:$A,0))</f>
        <v>NOUN</v>
      </c>
      <c r="M34" s="5">
        <f t="shared" si="0"/>
        <v>1</v>
      </c>
      <c r="N34" s="5">
        <f t="shared" si="1"/>
        <v>1</v>
      </c>
      <c r="P34" s="12" t="s">
        <v>30</v>
      </c>
      <c r="Q34" s="7" t="s">
        <v>295</v>
      </c>
      <c r="R34" s="7" t="str">
        <f>INDEX('Brown tagset'!$B:$B,MATCH(IF(ISERROR(FIND("-",Q34)),IF(ISERROR(FIND("+",Q34)),Q34,LEFT(Q34,FIND("+",Q34)-1)),LEFT(Q34,FIND("-",Q34)-1)),'Brown tagset'!$A:$A,0))</f>
        <v>plural noun</v>
      </c>
      <c r="S34" s="7"/>
      <c r="T34" s="7" t="str">
        <f>INDEX('Brown-Universal mapping'!$B:$B,MATCH(Q34,'Brown-Universal mapping'!$A:$A,0))</f>
        <v>NOUN</v>
      </c>
      <c r="U34" s="7">
        <f t="shared" si="2"/>
        <v>1</v>
      </c>
      <c r="V34" s="7">
        <f t="shared" si="3"/>
        <v>1</v>
      </c>
      <c r="X34" s="12" t="s">
        <v>30</v>
      </c>
      <c r="Y34" s="7" t="s">
        <v>295</v>
      </c>
      <c r="Z34" s="7" t="str">
        <f>INDEX('Brown tagset'!$B:$B,MATCH(IF(ISERROR(FIND("-",Y34)),IF(ISERROR(FIND("+",Y34)),Y34,LEFT(Y34,FIND("+",Y34)-1)),LEFT(Y34,FIND("-",Y34)-1)),'Brown tagset'!$A:$A,0))</f>
        <v>plural noun</v>
      </c>
      <c r="AA34" s="7"/>
      <c r="AB34" s="7" t="str">
        <f>INDEX('Brown-Universal mapping'!$B:$B,MATCH(Y34,'Brown-Universal mapping'!$A:$A,0))</f>
        <v>NOUN</v>
      </c>
      <c r="AC34" s="7">
        <f t="shared" si="4"/>
        <v>1</v>
      </c>
      <c r="AD34" s="7">
        <f t="shared" si="5"/>
        <v>1</v>
      </c>
      <c r="AF34" s="9" t="s">
        <v>31</v>
      </c>
      <c r="AG34" s="9" t="str">
        <f>INDEX('Brown tagset'!$B:$B,MATCH(IF(ISERROR(FIND("-",AF34)),IF(ISERROR(FIND("+",AF34)),AF34,LEFT(AF34,FIND("+",AF34)-1)),LEFT(AF34,FIND("-",AF34)-1)),'Brown tagset'!$A:$A,0))</f>
        <v>plural noun</v>
      </c>
      <c r="AH34" s="9" t="s">
        <v>13</v>
      </c>
      <c r="AI34" s="9" t="str">
        <f>INDEX('Brown-Universal mapping'!$B:$B,MATCH(AF34,'Brown-Universal mapping'!$A:$A,0))</f>
        <v>NOUN</v>
      </c>
      <c r="AJ34" s="9">
        <f t="shared" si="6"/>
        <v>1</v>
      </c>
      <c r="AK34" s="9">
        <f t="shared" si="7"/>
        <v>1</v>
      </c>
      <c r="AM34" s="6">
        <f t="shared" si="8"/>
        <v>3</v>
      </c>
      <c r="AN34" s="6">
        <f t="shared" si="9"/>
        <v>3</v>
      </c>
      <c r="AP34" s="6" t="str">
        <f t="shared" si="10"/>
        <v>plural noun3</v>
      </c>
    </row>
    <row r="35" spans="1:42" x14ac:dyDescent="0.25">
      <c r="A35" s="4" t="s">
        <v>32</v>
      </c>
      <c r="D35" s="3" t="s">
        <v>33</v>
      </c>
      <c r="E35" s="3" t="str">
        <f>INDEX('Brown tagset'!$B:$B,MATCH(IF(ISERROR(FIND("-",D35)),IF(ISERROR(FIND("+",D35)),D35,LEFT(D35,FIND("+",D35)-1)),LEFT(D35,FIND("-",D35)-1)),'Brown tagset'!$A:$A,0))</f>
        <v>do</v>
      </c>
      <c r="F35" s="3"/>
      <c r="G35" s="3" t="str">
        <f>INDEX('Brown-Universal mapping'!$B:$B,MATCH(D35,'Brown-Universal mapping'!$A:$A,0))</f>
        <v>VERB</v>
      </c>
      <c r="I35" s="5" t="s">
        <v>33</v>
      </c>
      <c r="J35" s="5" t="str">
        <f>INDEX('Brown tagset'!$B:$B,MATCH(IF(ISERROR(FIND("-",I35)),IF(ISERROR(FIND("+",I35)),I35,LEFT(I35,FIND("+",I35)-1)),LEFT(I35,FIND("-",I35)-1)),'Brown tagset'!$A:$A,0))</f>
        <v>do</v>
      </c>
      <c r="K35" s="5" t="s">
        <v>2</v>
      </c>
      <c r="L35" s="5" t="str">
        <f>INDEX('Brown-Universal mapping'!$B:$B,MATCH(I35,'Brown-Universal mapping'!$A:$A,0))</f>
        <v>VERB</v>
      </c>
      <c r="M35" s="5">
        <f t="shared" si="0"/>
        <v>1</v>
      </c>
      <c r="N35" s="5">
        <f t="shared" si="1"/>
        <v>1</v>
      </c>
      <c r="P35" s="12" t="s">
        <v>19</v>
      </c>
      <c r="Q35" s="7" t="s">
        <v>19</v>
      </c>
      <c r="R35" s="7" t="str">
        <f>INDEX('Brown tagset'!$B:$B,MATCH(IF(ISERROR(FIND("-",Q35)),IF(ISERROR(FIND("+",Q35)),Q35,LEFT(Q35,FIND("+",Q35)-1)),LEFT(Q35,FIND("-",Q35)-1)),'Brown tagset'!$A:$A,0))</f>
        <v>do</v>
      </c>
      <c r="S35" s="7"/>
      <c r="T35" s="7" t="str">
        <f>INDEX('Brown-Universal mapping'!$B:$B,MATCH(Q35,'Brown-Universal mapping'!$A:$A,0))</f>
        <v>VERB</v>
      </c>
      <c r="U35" s="7">
        <f t="shared" si="2"/>
        <v>0</v>
      </c>
      <c r="V35" s="7">
        <f t="shared" si="3"/>
        <v>1</v>
      </c>
      <c r="X35" s="12" t="s">
        <v>32</v>
      </c>
      <c r="Y35" s="7" t="s">
        <v>868</v>
      </c>
      <c r="Z35" s="7" t="str">
        <f>INDEX('Brown tagset'!$B:$B,MATCH(IF(ISERROR(FIND("-",Y35)),IF(ISERROR(FIND("+",Y35)),Y35,LEFT(Y35,FIND("+",Y35)-1)),LEFT(Y35,FIND("-",Y35)-1)),'Brown tagset'!$A:$A,0))</f>
        <v>do</v>
      </c>
      <c r="AA35" s="7"/>
      <c r="AB35" s="7" t="str">
        <f>INDEX('Brown-Universal mapping'!$B:$B,MATCH(Y35,'Brown-Universal mapping'!$A:$A,0))</f>
        <v>VERB</v>
      </c>
      <c r="AC35" s="7">
        <f t="shared" si="4"/>
        <v>1</v>
      </c>
      <c r="AD35" s="7">
        <f t="shared" si="5"/>
        <v>1</v>
      </c>
      <c r="AF35" s="9" t="s">
        <v>33</v>
      </c>
      <c r="AG35" s="9" t="str">
        <f>INDEX('Brown tagset'!$B:$B,MATCH(IF(ISERROR(FIND("-",AF35)),IF(ISERROR(FIND("+",AF35)),AF35,LEFT(AF35,FIND("+",AF35)-1)),LEFT(AF35,FIND("-",AF35)-1)),'Brown tagset'!$A:$A,0))</f>
        <v>do</v>
      </c>
      <c r="AH35" s="9" t="s">
        <v>2</v>
      </c>
      <c r="AI35" s="9" t="str">
        <f>INDEX('Brown-Universal mapping'!$B:$B,MATCH(AF35,'Brown-Universal mapping'!$A:$A,0))</f>
        <v>VERB</v>
      </c>
      <c r="AJ35" s="9">
        <f t="shared" si="6"/>
        <v>1</v>
      </c>
      <c r="AK35" s="9">
        <f t="shared" si="7"/>
        <v>1</v>
      </c>
      <c r="AM35" s="6">
        <f t="shared" si="8"/>
        <v>3</v>
      </c>
      <c r="AN35" s="6">
        <f t="shared" si="9"/>
        <v>3</v>
      </c>
      <c r="AP35" s="6" t="str">
        <f t="shared" si="10"/>
        <v>do3</v>
      </c>
    </row>
    <row r="36" spans="1:42" x14ac:dyDescent="0.25">
      <c r="A36" s="4" t="s">
        <v>34</v>
      </c>
      <c r="D36" s="3" t="s">
        <v>35</v>
      </c>
      <c r="E36" s="3" t="str">
        <f>INDEX('Brown tagset'!$B:$B,MATCH(IF(ISERROR(FIND("-",D36)),IF(ISERROR(FIND("+",D36)),D36,LEFT(D36,FIND("+",D36)-1)),LEFT(D36,FIND("-",D36)-1)),'Brown tagset'!$A:$A,0))</f>
        <v>verb, base form</v>
      </c>
      <c r="F36" s="3"/>
      <c r="G36" s="3" t="str">
        <f>INDEX('Brown-Universal mapping'!$B:$B,MATCH(D36,'Brown-Universal mapping'!$A:$A,0))</f>
        <v>VERB</v>
      </c>
      <c r="I36" s="5" t="s">
        <v>35</v>
      </c>
      <c r="J36" s="5" t="str">
        <f>INDEX('Brown tagset'!$B:$B,MATCH(IF(ISERROR(FIND("-",I36)),IF(ISERROR(FIND("+",I36)),I36,LEFT(I36,FIND("+",I36)-1)),LEFT(I36,FIND("-",I36)-1)),'Brown tagset'!$A:$A,0))</f>
        <v>verb, base form</v>
      </c>
      <c r="K36" s="5" t="s">
        <v>10</v>
      </c>
      <c r="L36" s="5" t="str">
        <f>INDEX('Brown-Universal mapping'!$B:$B,MATCH(I36,'Brown-Universal mapping'!$A:$A,0))</f>
        <v>VERB</v>
      </c>
      <c r="M36" s="5">
        <f t="shared" si="0"/>
        <v>1</v>
      </c>
      <c r="N36" s="5">
        <f t="shared" si="1"/>
        <v>1</v>
      </c>
      <c r="P36" s="12" t="s">
        <v>34</v>
      </c>
      <c r="Q36" s="7" t="s">
        <v>296</v>
      </c>
      <c r="R36" s="7" t="str">
        <f>INDEX('Brown tagset'!$B:$B,MATCH(IF(ISERROR(FIND("-",Q36)),IF(ISERROR(FIND("+",Q36)),Q36,LEFT(Q36,FIND("+",Q36)-1)),LEFT(Q36,FIND("-",Q36)-1)),'Brown tagset'!$A:$A,0))</f>
        <v>verb, base form</v>
      </c>
      <c r="S36" s="7"/>
      <c r="T36" s="7" t="str">
        <f>INDEX('Brown-Universal mapping'!$B:$B,MATCH(Q36,'Brown-Universal mapping'!$A:$A,0))</f>
        <v>VERB</v>
      </c>
      <c r="U36" s="7">
        <f t="shared" si="2"/>
        <v>1</v>
      </c>
      <c r="V36" s="7">
        <f t="shared" si="3"/>
        <v>1</v>
      </c>
      <c r="X36" s="6" t="s">
        <v>34</v>
      </c>
      <c r="Y36" s="7" t="s">
        <v>296</v>
      </c>
      <c r="Z36" s="7" t="str">
        <f>INDEX('Brown tagset'!$B:$B,MATCH(IF(ISERROR(FIND("-",Y36)),IF(ISERROR(FIND("+",Y36)),Y36,LEFT(Y36,FIND("+",Y36)-1)),LEFT(Y36,FIND("-",Y36)-1)),'Brown tagset'!$A:$A,0))</f>
        <v>verb, base form</v>
      </c>
      <c r="AA36" s="7"/>
      <c r="AB36" s="7" t="s">
        <v>10</v>
      </c>
      <c r="AC36" s="7">
        <f t="shared" si="4"/>
        <v>1</v>
      </c>
      <c r="AD36" s="7">
        <f t="shared" si="5"/>
        <v>1</v>
      </c>
      <c r="AF36" s="9" t="s">
        <v>35</v>
      </c>
      <c r="AG36" s="9" t="str">
        <f>INDEX('Brown tagset'!$B:$B,MATCH(IF(ISERROR(FIND("-",AF36)),IF(ISERROR(FIND("+",AF36)),AF36,LEFT(AF36,FIND("+",AF36)-1)),LEFT(AF36,FIND("-",AF36)-1)),'Brown tagset'!$A:$A,0))</f>
        <v>verb, base form</v>
      </c>
      <c r="AH36" s="9" t="s">
        <v>10</v>
      </c>
      <c r="AI36" s="9" t="str">
        <f>INDEX('Brown-Universal mapping'!$B:$B,MATCH(AF36,'Brown-Universal mapping'!$A:$A,0))</f>
        <v>VERB</v>
      </c>
      <c r="AJ36" s="9">
        <f t="shared" si="6"/>
        <v>1</v>
      </c>
      <c r="AK36" s="9">
        <f t="shared" si="7"/>
        <v>1</v>
      </c>
      <c r="AM36" s="6">
        <f t="shared" si="8"/>
        <v>3</v>
      </c>
      <c r="AN36" s="6">
        <f t="shared" si="9"/>
        <v>3</v>
      </c>
      <c r="AP36" s="6" t="str">
        <f t="shared" si="10"/>
        <v>verb, base form3</v>
      </c>
    </row>
    <row r="37" spans="1:42" x14ac:dyDescent="0.25">
      <c r="A37" s="27" t="s">
        <v>36</v>
      </c>
      <c r="B37" s="27"/>
      <c r="D37" s="3" t="s">
        <v>12</v>
      </c>
      <c r="E37" s="3" t="str">
        <f>INDEX('Brown tagset'!$B:$B,MATCH(IF(ISERROR(FIND("-",D37)),IF(ISERROR(FIND("+",D37)),D37,LEFT(D37,FIND("+",D37)-1)),LEFT(D37,FIND("-",D37)-1)),'Brown tagset'!$A:$A,0))</f>
        <v>singular or mass noun</v>
      </c>
      <c r="F37" s="3"/>
      <c r="G37" s="3" t="str">
        <f>INDEX('Brown-Universal mapping'!$B:$B,MATCH(D37,'Brown-Universal mapping'!$A:$A,0))</f>
        <v>NOUN</v>
      </c>
      <c r="I37" s="5" t="s">
        <v>12</v>
      </c>
      <c r="J37" s="5" t="str">
        <f>INDEX('Brown tagset'!$B:$B,MATCH(IF(ISERROR(FIND("-",I37)),IF(ISERROR(FIND("+",I37)),I37,LEFT(I37,FIND("+",I37)-1)),LEFT(I37,FIND("-",I37)-1)),'Brown tagset'!$A:$A,0))</f>
        <v>singular or mass noun</v>
      </c>
      <c r="K37" s="5" t="s">
        <v>13</v>
      </c>
      <c r="L37" s="5" t="str">
        <f>INDEX('Brown-Universal mapping'!$B:$B,MATCH(I37,'Brown-Universal mapping'!$A:$A,0))</f>
        <v>NOUN</v>
      </c>
      <c r="M37" s="5">
        <f t="shared" si="0"/>
        <v>1</v>
      </c>
      <c r="N37" s="5">
        <f t="shared" si="1"/>
        <v>1</v>
      </c>
      <c r="P37" s="12" t="s">
        <v>36</v>
      </c>
      <c r="Q37" s="7" t="s">
        <v>288</v>
      </c>
      <c r="R37" s="7" t="str">
        <f>INDEX('Brown tagset'!$B:$B,MATCH(IF(ISERROR(FIND("-",Q37)),IF(ISERROR(FIND("+",Q37)),Q37,LEFT(Q37,FIND("+",Q37)-1)),LEFT(Q37,FIND("-",Q37)-1)),'Brown tagset'!$A:$A,0))</f>
        <v>adverb</v>
      </c>
      <c r="S37" s="7"/>
      <c r="T37" s="7" t="str">
        <f>INDEX('Brown-Universal mapping'!$B:$B,MATCH(Q37,'Brown-Universal mapping'!$A:$A,0))</f>
        <v>ADV</v>
      </c>
      <c r="U37" s="7">
        <f t="shared" si="2"/>
        <v>0</v>
      </c>
      <c r="V37" s="7">
        <f t="shared" si="3"/>
        <v>0</v>
      </c>
      <c r="X37" s="12" t="s">
        <v>36</v>
      </c>
      <c r="Y37" s="7" t="s">
        <v>299</v>
      </c>
      <c r="Z37" s="7" t="str">
        <f>INDEX('Brown tagset'!$B:$B,MATCH(IF(ISERROR(FIND("-",Y37)),IF(ISERROR(FIND("+",Y37)),Y37,LEFT(Y37,FIND("+",Y37)-1)),LEFT(Y37,FIND("-",Y37)-1)),'Brown tagset'!$A:$A,0))</f>
        <v>adjective</v>
      </c>
      <c r="AA37" s="7"/>
      <c r="AB37" s="7" t="str">
        <f>INDEX('Brown-Universal mapping'!$B:$B,MATCH(Y37,'Brown-Universal mapping'!$A:$A,0))</f>
        <v>ADJ</v>
      </c>
      <c r="AC37" s="7">
        <f t="shared" si="4"/>
        <v>0</v>
      </c>
      <c r="AD37" s="7">
        <f t="shared" si="5"/>
        <v>0</v>
      </c>
      <c r="AF37" s="9" t="s">
        <v>340</v>
      </c>
      <c r="AG37" s="9" t="str">
        <f>INDEX('Brown tagset'!$B:$B,MATCH(IF(ISERROR(FIND("-",AF37)),IF(ISERROR(FIND("+",AF37)),AF37,LEFT(AF37,FIND("+",AF37)-1)),LEFT(AF37,FIND("-",AF37)-1)),'Brown tagset'!$A:$A,0))</f>
        <v>unknown</v>
      </c>
      <c r="AH37" s="9" t="s">
        <v>2</v>
      </c>
      <c r="AI37" s="9" t="str">
        <f>INDEX('Brown-Universal mapping'!$B:$B,MATCH(AF37,'Brown-Universal mapping'!$A:$A,0))</f>
        <v>Unknown</v>
      </c>
      <c r="AJ37" s="9">
        <f t="shared" si="6"/>
        <v>0</v>
      </c>
      <c r="AK37" s="9">
        <f t="shared" si="7"/>
        <v>0</v>
      </c>
      <c r="AM37" s="6">
        <f t="shared" si="8"/>
        <v>1</v>
      </c>
      <c r="AN37" s="6">
        <f t="shared" si="9"/>
        <v>1</v>
      </c>
      <c r="AP37" s="6" t="str">
        <f t="shared" si="10"/>
        <v>unknown1</v>
      </c>
    </row>
    <row r="38" spans="1:42" x14ac:dyDescent="0.25">
      <c r="A38" s="4" t="s">
        <v>16</v>
      </c>
      <c r="D38" s="3" t="s">
        <v>17</v>
      </c>
      <c r="E38" s="3" t="str">
        <f>INDEX('Brown tagset'!$B:$B,MATCH(IF(ISERROR(FIND("-",D38)),IF(ISERROR(FIND("+",D38)),D38,LEFT(D38,FIND("+",D38)-1)),LEFT(D38,FIND("-",D38)-1)),'Brown tagset'!$A:$A,0))</f>
        <v>infinitive marker to</v>
      </c>
      <c r="F38" s="3"/>
      <c r="G38" s="3" t="str">
        <f>INDEX('Brown-Universal mapping'!$B:$B,MATCH(D38,'Brown-Universal mapping'!$A:$A,0))</f>
        <v>PRT</v>
      </c>
      <c r="I38" s="5" t="s">
        <v>17</v>
      </c>
      <c r="J38" s="5" t="str">
        <f>INDEX('Brown tagset'!$B:$B,MATCH(IF(ISERROR(FIND("-",I38)),IF(ISERROR(FIND("+",I38)),I38,LEFT(I38,FIND("+",I38)-1)),LEFT(I38,FIND("-",I38)-1)),'Brown tagset'!$A:$A,0))</f>
        <v>infinitive marker to</v>
      </c>
      <c r="K38" s="5" t="s">
        <v>18</v>
      </c>
      <c r="L38" s="5" t="str">
        <f>INDEX('Brown-Universal mapping'!$B:$B,MATCH(I38,'Brown-Universal mapping'!$A:$A,0))</f>
        <v>PRT</v>
      </c>
      <c r="M38" s="5">
        <f t="shared" si="0"/>
        <v>1</v>
      </c>
      <c r="N38" s="5">
        <f t="shared" si="1"/>
        <v>1</v>
      </c>
      <c r="P38" s="12" t="s">
        <v>16</v>
      </c>
      <c r="Q38" s="7" t="s">
        <v>16</v>
      </c>
      <c r="R38" s="7" t="str">
        <f>INDEX('Brown tagset'!$B:$B,MATCH(IF(ISERROR(FIND("-",Q38)),IF(ISERROR(FIND("+",Q38)),Q38,LEFT(Q38,FIND("+",Q38)-1)),LEFT(Q38,FIND("-",Q38)-1)),'Brown tagset'!$A:$A,0))</f>
        <v>infinitive marker to</v>
      </c>
      <c r="S38" s="7"/>
      <c r="T38" s="7" t="str">
        <f>INDEX('Brown-Universal mapping'!$B:$B,MATCH(Q38,'Brown-Universal mapping'!$A:$A,0))</f>
        <v>PRT</v>
      </c>
      <c r="U38" s="7">
        <f t="shared" si="2"/>
        <v>1</v>
      </c>
      <c r="V38" s="7">
        <f t="shared" si="3"/>
        <v>1</v>
      </c>
      <c r="X38" s="12" t="s">
        <v>16</v>
      </c>
      <c r="Y38" s="7" t="s">
        <v>124</v>
      </c>
      <c r="Z38" s="7" t="str">
        <f>INDEX('Brown tagset'!$B:$B,MATCH(IF(ISERROR(FIND("-",Y38)),IF(ISERROR(FIND("+",Y38)),Y38,LEFT(Y38,FIND("+",Y38)-1)),LEFT(Y38,FIND("-",Y38)-1)),'Brown tagset'!$A:$A,0))</f>
        <v>preposition</v>
      </c>
      <c r="AA38" s="7"/>
      <c r="AB38" s="7" t="str">
        <f>INDEX('Brown-Universal mapping'!$B:$B,MATCH(Y38,'Brown-Universal mapping'!$A:$A,0))</f>
        <v>ADP</v>
      </c>
      <c r="AC38" s="7">
        <f t="shared" si="4"/>
        <v>0</v>
      </c>
      <c r="AD38" s="7">
        <f t="shared" si="5"/>
        <v>0</v>
      </c>
      <c r="AF38" s="9" t="s">
        <v>17</v>
      </c>
      <c r="AG38" s="9" t="str">
        <f>INDEX('Brown tagset'!$B:$B,MATCH(IF(ISERROR(FIND("-",AF38)),IF(ISERROR(FIND("+",AF38)),AF38,LEFT(AF38,FIND("+",AF38)-1)),LEFT(AF38,FIND("-",AF38)-1)),'Brown tagset'!$A:$A,0))</f>
        <v>infinitive marker to</v>
      </c>
      <c r="AH38" s="9" t="s">
        <v>18</v>
      </c>
      <c r="AI38" s="9" t="str">
        <f>INDEX('Brown-Universal mapping'!$B:$B,MATCH(AF38,'Brown-Universal mapping'!$A:$A,0))</f>
        <v>PRT</v>
      </c>
      <c r="AJ38" s="9">
        <f t="shared" si="6"/>
        <v>1</v>
      </c>
      <c r="AK38" s="9">
        <f t="shared" si="7"/>
        <v>1</v>
      </c>
      <c r="AM38" s="6">
        <f t="shared" si="8"/>
        <v>2</v>
      </c>
      <c r="AN38" s="6">
        <f t="shared" si="9"/>
        <v>2</v>
      </c>
      <c r="AP38" s="6" t="str">
        <f t="shared" si="10"/>
        <v>infinitive marker to2</v>
      </c>
    </row>
    <row r="39" spans="1:42" x14ac:dyDescent="0.25">
      <c r="A39" s="4" t="s">
        <v>37</v>
      </c>
      <c r="D39" s="3" t="s">
        <v>37</v>
      </c>
      <c r="E39" s="3" t="str">
        <f>INDEX('Brown tagset'!$B:$B,MATCH(IF(ISERROR(FIND("-",D39)),IF(ISERROR(FIND("+",D39)),D39,LEFT(D39,FIND("+",D39)-1)),LEFT(D39,FIND("-",D39)-1)),'Brown tagset'!$A:$A,0))</f>
        <v>end quotation</v>
      </c>
      <c r="F39" s="3"/>
      <c r="G39" s="3" t="str">
        <f>INDEX('Brown-Universal mapping'!$B:$B,MATCH(D39,'Brown-Universal mapping'!$A:$A,0))</f>
        <v>.</v>
      </c>
      <c r="I39" s="5" t="s">
        <v>37</v>
      </c>
      <c r="J39" s="5" t="str">
        <f>INDEX('Brown tagset'!$B:$B,MATCH(IF(ISERROR(FIND("-",I39)),IF(ISERROR(FIND("+",I39)),I39,LEFT(I39,FIND("+",I39)-1)),LEFT(I39,FIND("-",I39)-1)),'Brown tagset'!$A:$A,0))</f>
        <v>end quotation</v>
      </c>
      <c r="K39" s="5" t="s">
        <v>38</v>
      </c>
      <c r="L39" s="5" t="str">
        <f>INDEX('Brown-Universal mapping'!$B:$B,MATCH(I39,'Brown-Universal mapping'!$A:$A,0))</f>
        <v>.</v>
      </c>
      <c r="M39" s="5">
        <f t="shared" si="0"/>
        <v>1</v>
      </c>
      <c r="N39" s="5">
        <f t="shared" si="1"/>
        <v>1</v>
      </c>
      <c r="P39" s="12" t="s">
        <v>37</v>
      </c>
      <c r="Q39" s="7" t="s">
        <v>37</v>
      </c>
      <c r="R39" s="7" t="str">
        <f>INDEX('Brown tagset'!$B:$B,MATCH(IF(ISERROR(FIND("-",Q39)),IF(ISERROR(FIND("+",Q39)),Q39,LEFT(Q39,FIND("+",Q39)-1)),LEFT(Q39,FIND("-",Q39)-1)),'Brown tagset'!$A:$A,0))</f>
        <v>end quotation</v>
      </c>
      <c r="S39" s="7"/>
      <c r="T39" s="7" t="str">
        <f>INDEX('Brown-Universal mapping'!$B:$B,MATCH(Q39,'Brown-Universal mapping'!$A:$A,0))</f>
        <v>.</v>
      </c>
      <c r="U39" s="7">
        <f t="shared" si="2"/>
        <v>1</v>
      </c>
      <c r="V39" s="7">
        <f t="shared" si="3"/>
        <v>1</v>
      </c>
      <c r="X39" s="12" t="s">
        <v>37</v>
      </c>
      <c r="Y39" s="7" t="s">
        <v>37</v>
      </c>
      <c r="Z39" s="7" t="str">
        <f>INDEX('Brown tagset'!$B:$B,MATCH(IF(ISERROR(FIND("-",Y39)),IF(ISERROR(FIND("+",Y39)),Y39,LEFT(Y39,FIND("+",Y39)-1)),LEFT(Y39,FIND("-",Y39)-1)),'Brown tagset'!$A:$A,0))</f>
        <v>end quotation</v>
      </c>
      <c r="AA39" s="7"/>
      <c r="AB39" s="7" t="str">
        <f>INDEX('Brown-Universal mapping'!$B:$B,MATCH(Y39,'Brown-Universal mapping'!$A:$A,0))</f>
        <v>.</v>
      </c>
      <c r="AC39" s="7">
        <f t="shared" si="4"/>
        <v>1</v>
      </c>
      <c r="AD39" s="7">
        <f t="shared" si="5"/>
        <v>1</v>
      </c>
      <c r="AF39" s="9" t="s">
        <v>37</v>
      </c>
      <c r="AG39" s="9" t="str">
        <f>INDEX('Brown tagset'!$B:$B,MATCH(IF(ISERROR(FIND("-",AF39)),IF(ISERROR(FIND("+",AF39)),AF39,LEFT(AF39,FIND("+",AF39)-1)),LEFT(AF39,FIND("-",AF39)-1)),'Brown tagset'!$A:$A,0))</f>
        <v>end quotation</v>
      </c>
      <c r="AH39" s="9" t="s">
        <v>38</v>
      </c>
      <c r="AI39" s="9" t="str">
        <f>INDEX('Brown-Universal mapping'!$B:$B,MATCH(AF39,'Brown-Universal mapping'!$A:$A,0))</f>
        <v>.</v>
      </c>
      <c r="AJ39" s="9">
        <f t="shared" si="6"/>
        <v>1</v>
      </c>
      <c r="AK39" s="9">
        <f t="shared" si="7"/>
        <v>1</v>
      </c>
      <c r="AM39" s="6">
        <f t="shared" si="8"/>
        <v>3</v>
      </c>
      <c r="AN39" s="6">
        <f t="shared" si="9"/>
        <v>3</v>
      </c>
      <c r="AP39" s="6" t="str">
        <f t="shared" si="10"/>
        <v>end quotation3</v>
      </c>
    </row>
    <row r="40" spans="1:42" x14ac:dyDescent="0.25">
      <c r="A40" s="4" t="s">
        <v>39</v>
      </c>
      <c r="D40" s="3" t="s">
        <v>35</v>
      </c>
      <c r="E40" s="3" t="str">
        <f>INDEX('Brown tagset'!$B:$B,MATCH(IF(ISERROR(FIND("-",D40)),IF(ISERROR(FIND("+",D40)),D40,LEFT(D40,FIND("+",D40)-1)),LEFT(D40,FIND("-",D40)-1)),'Brown tagset'!$A:$A,0))</f>
        <v>verb, base form</v>
      </c>
      <c r="F40" s="3"/>
      <c r="G40" s="3" t="str">
        <f>INDEX('Brown-Universal mapping'!$B:$B,MATCH(D40,'Brown-Universal mapping'!$A:$A,0))</f>
        <v>VERB</v>
      </c>
      <c r="I40" s="5" t="s">
        <v>35</v>
      </c>
      <c r="J40" s="5" t="str">
        <f>INDEX('Brown tagset'!$B:$B,MATCH(IF(ISERROR(FIND("-",I40)),IF(ISERROR(FIND("+",I40)),I40,LEFT(I40,FIND("+",I40)-1)),LEFT(I40,FIND("-",I40)-1)),'Brown tagset'!$A:$A,0))</f>
        <v>verb, base form</v>
      </c>
      <c r="K40" s="5" t="s">
        <v>10</v>
      </c>
      <c r="L40" s="5" t="str">
        <f>INDEX('Brown-Universal mapping'!$B:$B,MATCH(I40,'Brown-Universal mapping'!$A:$A,0))</f>
        <v>VERB</v>
      </c>
      <c r="M40" s="5">
        <f t="shared" si="0"/>
        <v>1</v>
      </c>
      <c r="N40" s="5">
        <f t="shared" si="1"/>
        <v>1</v>
      </c>
      <c r="P40" s="12" t="s">
        <v>39</v>
      </c>
      <c r="Q40" s="7" t="s">
        <v>296</v>
      </c>
      <c r="R40" s="7" t="str">
        <f>INDEX('Brown tagset'!$B:$B,MATCH(IF(ISERROR(FIND("-",Q40)),IF(ISERROR(FIND("+",Q40)),Q40,LEFT(Q40,FIND("+",Q40)-1)),LEFT(Q40,FIND("-",Q40)-1)),'Brown tagset'!$A:$A,0))</f>
        <v>verb, base form</v>
      </c>
      <c r="S40" s="7"/>
      <c r="T40" s="7" t="str">
        <f>INDEX('Brown-Universal mapping'!$B:$B,MATCH(Q40,'Brown-Universal mapping'!$A:$A,0))</f>
        <v>VERB</v>
      </c>
      <c r="U40" s="7">
        <f t="shared" si="2"/>
        <v>1</v>
      </c>
      <c r="V40" s="7">
        <f t="shared" si="3"/>
        <v>1</v>
      </c>
      <c r="X40" s="6" t="s">
        <v>39</v>
      </c>
      <c r="Y40" s="7" t="s">
        <v>296</v>
      </c>
      <c r="Z40" s="7" t="str">
        <f>INDEX('Brown tagset'!$B:$B,MATCH(IF(ISERROR(FIND("-",Y40)),IF(ISERROR(FIND("+",Y40)),Y40,LEFT(Y40,FIND("+",Y40)-1)),LEFT(Y40,FIND("-",Y40)-1)),'Brown tagset'!$A:$A,0))</f>
        <v>verb, base form</v>
      </c>
      <c r="AA40" s="7"/>
      <c r="AB40" s="7" t="s">
        <v>10</v>
      </c>
      <c r="AC40" s="7">
        <f t="shared" si="4"/>
        <v>1</v>
      </c>
      <c r="AD40" s="7">
        <f t="shared" si="5"/>
        <v>1</v>
      </c>
      <c r="AF40" s="9" t="s">
        <v>35</v>
      </c>
      <c r="AG40" s="9" t="str">
        <f>INDEX('Brown tagset'!$B:$B,MATCH(IF(ISERROR(FIND("-",AF40)),IF(ISERROR(FIND("+",AF40)),AF40,LEFT(AF40,FIND("+",AF40)-1)),LEFT(AF40,FIND("-",AF40)-1)),'Brown tagset'!$A:$A,0))</f>
        <v>verb, base form</v>
      </c>
      <c r="AH40" s="9" t="s">
        <v>10</v>
      </c>
      <c r="AI40" s="9" t="str">
        <f>INDEX('Brown-Universal mapping'!$B:$B,MATCH(AF40,'Brown-Universal mapping'!$A:$A,0))</f>
        <v>VERB</v>
      </c>
      <c r="AJ40" s="9">
        <f t="shared" si="6"/>
        <v>1</v>
      </c>
      <c r="AK40" s="9">
        <f t="shared" si="7"/>
        <v>1</v>
      </c>
      <c r="AM40" s="6">
        <f t="shared" si="8"/>
        <v>3</v>
      </c>
      <c r="AN40" s="6">
        <f t="shared" si="9"/>
        <v>3</v>
      </c>
      <c r="AP40" s="6" t="str">
        <f t="shared" si="10"/>
        <v>verb, base form3</v>
      </c>
    </row>
    <row r="41" spans="1:42" x14ac:dyDescent="0.25">
      <c r="A41" s="4" t="s">
        <v>40</v>
      </c>
      <c r="D41" s="3" t="s">
        <v>41</v>
      </c>
      <c r="E41" s="3" t="str">
        <f>INDEX('Brown tagset'!$B:$B,MATCH(IF(ISERROR(FIND("-",D41)),IF(ISERROR(FIND("+",D41)),D41,LEFT(D41,FIND("+",D41)-1)),LEFT(D41,FIND("-",D41)-1)),'Brown tagset'!$A:$A,0))</f>
        <v>pre-quantifier (half, all)</v>
      </c>
      <c r="F41" s="3"/>
      <c r="G41" s="3" t="str">
        <f>INDEX('Brown-Universal mapping'!$B:$B,MATCH(D41,'Brown-Universal mapping'!$A:$A,0))</f>
        <v>PRT</v>
      </c>
      <c r="I41" s="5" t="s">
        <v>41</v>
      </c>
      <c r="J41" s="5" t="str">
        <f>INDEX('Brown tagset'!$B:$B,MATCH(IF(ISERROR(FIND("-",I41)),IF(ISERROR(FIND("+",I41)),I41,LEFT(I41,FIND("+",I41)-1)),LEFT(I41,FIND("-",I41)-1)),'Brown tagset'!$A:$A,0))</f>
        <v>pre-quantifier (half, all)</v>
      </c>
      <c r="K41" s="5" t="s">
        <v>2</v>
      </c>
      <c r="L41" s="5" t="str">
        <f>INDEX('Brown-Universal mapping'!$B:$B,MATCH(I41,'Brown-Universal mapping'!$A:$A,0))</f>
        <v>PRT</v>
      </c>
      <c r="M41" s="5">
        <f t="shared" si="0"/>
        <v>1</v>
      </c>
      <c r="N41" s="5">
        <f t="shared" si="1"/>
        <v>1</v>
      </c>
      <c r="P41" s="12" t="s">
        <v>40</v>
      </c>
      <c r="Q41" s="7" t="s">
        <v>297</v>
      </c>
      <c r="R41" s="7" t="str">
        <f>INDEX('Brown tagset'!$B:$B,MATCH(IF(ISERROR(FIND("-",Q41)),IF(ISERROR(FIND("+",Q41)),Q41,LEFT(Q41,FIND("+",Q41)-1)),LEFT(Q41,FIND("-",Q41)-1)),'Brown tagset'!$A:$A,0))</f>
        <v>pre-quantifier (half, all)</v>
      </c>
      <c r="S41" s="7"/>
      <c r="T41" s="7" t="str">
        <f>INDEX('Brown-Universal mapping'!$B:$B,MATCH(Q41,'Brown-Universal mapping'!$A:$A,0))</f>
        <v>PRT</v>
      </c>
      <c r="U41" s="7">
        <f t="shared" si="2"/>
        <v>1</v>
      </c>
      <c r="V41" s="7">
        <f t="shared" si="3"/>
        <v>1</v>
      </c>
      <c r="X41" s="12" t="s">
        <v>40</v>
      </c>
      <c r="Y41" s="7" t="s">
        <v>297</v>
      </c>
      <c r="Z41" s="7" t="str">
        <f>INDEX('Brown tagset'!$B:$B,MATCH(IF(ISERROR(FIND("-",Y41)),IF(ISERROR(FIND("+",Y41)),Y41,LEFT(Y41,FIND("+",Y41)-1)),LEFT(Y41,FIND("-",Y41)-1)),'Brown tagset'!$A:$A,0))</f>
        <v>pre-quantifier (half, all)</v>
      </c>
      <c r="AA41" s="7"/>
      <c r="AB41" s="7" t="str">
        <f>INDEX('Brown-Universal mapping'!$B:$B,MATCH(Y41,'Brown-Universal mapping'!$A:$A,0))</f>
        <v>PRT</v>
      </c>
      <c r="AC41" s="7">
        <f t="shared" si="4"/>
        <v>1</v>
      </c>
      <c r="AD41" s="7">
        <f t="shared" si="5"/>
        <v>1</v>
      </c>
      <c r="AF41" s="9" t="s">
        <v>41</v>
      </c>
      <c r="AG41" s="9" t="str">
        <f>INDEX('Brown tagset'!$B:$B,MATCH(IF(ISERROR(FIND("-",AF41)),IF(ISERROR(FIND("+",AF41)),AF41,LEFT(AF41,FIND("+",AF41)-1)),LEFT(AF41,FIND("-",AF41)-1)),'Brown tagset'!$A:$A,0))</f>
        <v>pre-quantifier (half, all)</v>
      </c>
      <c r="AH41" s="9" t="s">
        <v>2</v>
      </c>
      <c r="AI41" s="9" t="str">
        <f>INDEX('Brown-Universal mapping'!$B:$B,MATCH(AF41,'Brown-Universal mapping'!$A:$A,0))</f>
        <v>PRT</v>
      </c>
      <c r="AJ41" s="9">
        <f t="shared" si="6"/>
        <v>1</v>
      </c>
      <c r="AK41" s="9">
        <f t="shared" si="7"/>
        <v>1</v>
      </c>
      <c r="AM41" s="6">
        <f t="shared" si="8"/>
        <v>3</v>
      </c>
      <c r="AN41" s="6">
        <f t="shared" si="9"/>
        <v>3</v>
      </c>
      <c r="AP41" s="6" t="str">
        <f t="shared" si="10"/>
        <v>pre-quantifier (half, all)3</v>
      </c>
    </row>
    <row r="42" spans="1:42" x14ac:dyDescent="0.25">
      <c r="A42" s="4" t="s">
        <v>42</v>
      </c>
      <c r="D42" s="3" t="s">
        <v>43</v>
      </c>
      <c r="E42" s="3" t="str">
        <f>INDEX('Brown tagset'!$B:$B,MATCH(IF(ISERROR(FIND("-",D42)),IF(ISERROR(FIND("+",D42)),D42,LEFT(D42,FIND("+",D42)-1)),LEFT(D42,FIND("-",D42)-1)),'Brown tagset'!$A:$A,0))</f>
        <v>plural determiner (these, those)</v>
      </c>
      <c r="F42" s="3"/>
      <c r="G42" s="3" t="str">
        <f>INDEX('Brown-Universal mapping'!$B:$B,MATCH(D42,'Brown-Universal mapping'!$A:$A,0))</f>
        <v>DET</v>
      </c>
      <c r="I42" s="5" t="s">
        <v>43</v>
      </c>
      <c r="J42" s="5" t="str">
        <f>INDEX('Brown tagset'!$B:$B,MATCH(IF(ISERROR(FIND("-",I42)),IF(ISERROR(FIND("+",I42)),I42,LEFT(I42,FIND("+",I42)-1)),LEFT(I42,FIND("-",I42)-1)),'Brown tagset'!$A:$A,0))</f>
        <v>plural determiner (these, those)</v>
      </c>
      <c r="K42" s="5" t="s">
        <v>2</v>
      </c>
      <c r="L42" s="5" t="str">
        <f>INDEX('Brown-Universal mapping'!$B:$B,MATCH(I42,'Brown-Universal mapping'!$A:$A,0))</f>
        <v>DET</v>
      </c>
      <c r="M42" s="5">
        <f t="shared" si="0"/>
        <v>1</v>
      </c>
      <c r="N42" s="5">
        <f t="shared" si="1"/>
        <v>1</v>
      </c>
      <c r="P42" s="12" t="s">
        <v>42</v>
      </c>
      <c r="Q42" s="7" t="s">
        <v>298</v>
      </c>
      <c r="R42" s="7" t="str">
        <f>INDEX('Brown tagset'!$B:$B,MATCH(IF(ISERROR(FIND("-",Q42)),IF(ISERROR(FIND("+",Q42)),Q42,LEFT(Q42,FIND("+",Q42)-1)),LEFT(Q42,FIND("-",Q42)-1)),'Brown tagset'!$A:$A,0))</f>
        <v>plural determiner (these, those)</v>
      </c>
      <c r="S42" s="7"/>
      <c r="T42" s="7" t="str">
        <f>INDEX('Brown-Universal mapping'!$B:$B,MATCH(Q42,'Brown-Universal mapping'!$A:$A,0))</f>
        <v>DET</v>
      </c>
      <c r="U42" s="7">
        <f t="shared" si="2"/>
        <v>1</v>
      </c>
      <c r="V42" s="7">
        <f t="shared" si="3"/>
        <v>1</v>
      </c>
      <c r="X42" s="12" t="s">
        <v>42</v>
      </c>
      <c r="Y42" s="7" t="s">
        <v>298</v>
      </c>
      <c r="Z42" s="7" t="str">
        <f>INDEX('Brown tagset'!$B:$B,MATCH(IF(ISERROR(FIND("-",Y42)),IF(ISERROR(FIND("+",Y42)),Y42,LEFT(Y42,FIND("+",Y42)-1)),LEFT(Y42,FIND("-",Y42)-1)),'Brown tagset'!$A:$A,0))</f>
        <v>plural determiner (these, those)</v>
      </c>
      <c r="AA42" s="7"/>
      <c r="AB42" s="7" t="str">
        <f>INDEX('Brown-Universal mapping'!$B:$B,MATCH(Y42,'Brown-Universal mapping'!$A:$A,0))</f>
        <v>DET</v>
      </c>
      <c r="AC42" s="7">
        <f t="shared" si="4"/>
        <v>1</v>
      </c>
      <c r="AD42" s="7">
        <f t="shared" si="5"/>
        <v>1</v>
      </c>
      <c r="AF42" s="9" t="s">
        <v>43</v>
      </c>
      <c r="AG42" s="9" t="str">
        <f>INDEX('Brown tagset'!$B:$B,MATCH(IF(ISERROR(FIND("-",AF42)),IF(ISERROR(FIND("+",AF42)),AF42,LEFT(AF42,FIND("+",AF42)-1)),LEFT(AF42,FIND("-",AF42)-1)),'Brown tagset'!$A:$A,0))</f>
        <v>plural determiner (these, those)</v>
      </c>
      <c r="AH42" s="9" t="s">
        <v>2</v>
      </c>
      <c r="AI42" s="9" t="str">
        <f>INDEX('Brown-Universal mapping'!$B:$B,MATCH(AF42,'Brown-Universal mapping'!$A:$A,0))</f>
        <v>DET</v>
      </c>
      <c r="AJ42" s="9">
        <f t="shared" si="6"/>
        <v>1</v>
      </c>
      <c r="AK42" s="9">
        <f t="shared" si="7"/>
        <v>1</v>
      </c>
      <c r="AM42" s="6">
        <f t="shared" si="8"/>
        <v>3</v>
      </c>
      <c r="AN42" s="6">
        <f t="shared" si="9"/>
        <v>3</v>
      </c>
      <c r="AP42" s="6" t="str">
        <f t="shared" si="10"/>
        <v>plural determiner (these, those)3</v>
      </c>
    </row>
    <row r="43" spans="1:42" x14ac:dyDescent="0.25">
      <c r="A43" s="4" t="s">
        <v>44</v>
      </c>
      <c r="D43" s="3" t="s">
        <v>45</v>
      </c>
      <c r="E43" s="3" t="str">
        <f>INDEX('Brown tagset'!$B:$B,MATCH(IF(ISERROR(FIND("-",D43)),IF(ISERROR(FIND("+",D43)),D43,LEFT(D43,FIND("+",D43)-1)),LEFT(D43,FIND("-",D43)-1)),'Brown tagset'!$A:$A,0))</f>
        <v>adjective</v>
      </c>
      <c r="F43" s="3"/>
      <c r="G43" s="3" t="str">
        <f>INDEX('Brown-Universal mapping'!$B:$B,MATCH(D43,'Brown-Universal mapping'!$A:$A,0))</f>
        <v>ADJ</v>
      </c>
      <c r="I43" s="5" t="s">
        <v>45</v>
      </c>
      <c r="J43" s="5" t="str">
        <f>INDEX('Brown tagset'!$B:$B,MATCH(IF(ISERROR(FIND("-",I43)),IF(ISERROR(FIND("+",I43)),I43,LEFT(I43,FIND("+",I43)-1)),LEFT(I43,FIND("-",I43)-1)),'Brown tagset'!$A:$A,0))</f>
        <v>adjective</v>
      </c>
      <c r="K43" s="5" t="s">
        <v>46</v>
      </c>
      <c r="L43" s="5" t="str">
        <f>INDEX('Brown-Universal mapping'!$B:$B,MATCH(I43,'Brown-Universal mapping'!$A:$A,0))</f>
        <v>ADJ</v>
      </c>
      <c r="M43" s="5">
        <f t="shared" si="0"/>
        <v>1</v>
      </c>
      <c r="N43" s="5">
        <f t="shared" si="1"/>
        <v>1</v>
      </c>
      <c r="P43" s="12" t="s">
        <v>44</v>
      </c>
      <c r="Q43" s="7" t="s">
        <v>299</v>
      </c>
      <c r="R43" s="7" t="str">
        <f>INDEX('Brown tagset'!$B:$B,MATCH(IF(ISERROR(FIND("-",Q43)),IF(ISERROR(FIND("+",Q43)),Q43,LEFT(Q43,FIND("+",Q43)-1)),LEFT(Q43,FIND("-",Q43)-1)),'Brown tagset'!$A:$A,0))</f>
        <v>adjective</v>
      </c>
      <c r="S43" s="7"/>
      <c r="T43" s="7" t="str">
        <f>INDEX('Brown-Universal mapping'!$B:$B,MATCH(Q43,'Brown-Universal mapping'!$A:$A,0))</f>
        <v>ADJ</v>
      </c>
      <c r="U43" s="7">
        <f t="shared" si="2"/>
        <v>1</v>
      </c>
      <c r="V43" s="7">
        <f t="shared" si="3"/>
        <v>1</v>
      </c>
      <c r="X43" s="12" t="s">
        <v>44</v>
      </c>
      <c r="Y43" s="7" t="s">
        <v>299</v>
      </c>
      <c r="Z43" s="7" t="str">
        <f>INDEX('Brown tagset'!$B:$B,MATCH(IF(ISERROR(FIND("-",Y43)),IF(ISERROR(FIND("+",Y43)),Y43,LEFT(Y43,FIND("+",Y43)-1)),LEFT(Y43,FIND("-",Y43)-1)),'Brown tagset'!$A:$A,0))</f>
        <v>adjective</v>
      </c>
      <c r="AA43" s="7"/>
      <c r="AB43" s="7" t="str">
        <f>INDEX('Brown-Universal mapping'!$B:$B,MATCH(Y43,'Brown-Universal mapping'!$A:$A,0))</f>
        <v>ADJ</v>
      </c>
      <c r="AC43" s="7">
        <f t="shared" si="4"/>
        <v>1</v>
      </c>
      <c r="AD43" s="7">
        <f t="shared" si="5"/>
        <v>1</v>
      </c>
      <c r="AF43" s="9" t="s">
        <v>45</v>
      </c>
      <c r="AG43" s="9" t="str">
        <f>INDEX('Brown tagset'!$B:$B,MATCH(IF(ISERROR(FIND("-",AF43)),IF(ISERROR(FIND("+",AF43)),AF43,LEFT(AF43,FIND("+",AF43)-1)),LEFT(AF43,FIND("-",AF43)-1)),'Brown tagset'!$A:$A,0))</f>
        <v>adjective</v>
      </c>
      <c r="AH43" s="9" t="s">
        <v>46</v>
      </c>
      <c r="AI43" s="9" t="str">
        <f>INDEX('Brown-Universal mapping'!$B:$B,MATCH(AF43,'Brown-Universal mapping'!$A:$A,0))</f>
        <v>ADJ</v>
      </c>
      <c r="AJ43" s="9">
        <f t="shared" si="6"/>
        <v>1</v>
      </c>
      <c r="AK43" s="9">
        <f t="shared" si="7"/>
        <v>1</v>
      </c>
      <c r="AM43" s="6">
        <f t="shared" si="8"/>
        <v>3</v>
      </c>
      <c r="AN43" s="6">
        <f t="shared" si="9"/>
        <v>3</v>
      </c>
      <c r="AP43" s="6" t="str">
        <f t="shared" si="10"/>
        <v>adjective3</v>
      </c>
    </row>
    <row r="44" spans="1:42" x14ac:dyDescent="0.25">
      <c r="A44" s="26" t="s">
        <v>47</v>
      </c>
      <c r="B44" s="26"/>
      <c r="D44" s="3" t="s">
        <v>12</v>
      </c>
      <c r="E44" s="3" t="str">
        <f>INDEX('Brown tagset'!$B:$B,MATCH(IF(ISERROR(FIND("-",D44)),IF(ISERROR(FIND("+",D44)),D44,LEFT(D44,FIND("+",D44)-1)),LEFT(D44,FIND("-",D44)-1)),'Brown tagset'!$A:$A,0))</f>
        <v>singular or mass noun</v>
      </c>
      <c r="F44" s="3"/>
      <c r="G44" s="3" t="str">
        <f>INDEX('Brown-Universal mapping'!$B:$B,MATCH(D44,'Brown-Universal mapping'!$A:$A,0))</f>
        <v>NOUN</v>
      </c>
      <c r="I44" s="5" t="s">
        <v>45</v>
      </c>
      <c r="J44" s="5" t="str">
        <f>INDEX('Brown tagset'!$B:$B,MATCH(IF(ISERROR(FIND("-",I44)),IF(ISERROR(FIND("+",I44)),I44,LEFT(I44,FIND("+",I44)-1)),LEFT(I44,FIND("-",I44)-1)),'Brown tagset'!$A:$A,0))</f>
        <v>adjective</v>
      </c>
      <c r="K44" s="5" t="s">
        <v>46</v>
      </c>
      <c r="L44" s="5" t="str">
        <f>INDEX('Brown-Universal mapping'!$B:$B,MATCH(I44,'Brown-Universal mapping'!$A:$A,0))</f>
        <v>ADJ</v>
      </c>
      <c r="M44" s="5">
        <f t="shared" si="0"/>
        <v>0</v>
      </c>
      <c r="N44" s="5">
        <f t="shared" si="1"/>
        <v>0</v>
      </c>
      <c r="P44" s="12" t="s">
        <v>47</v>
      </c>
      <c r="Q44" s="7" t="s">
        <v>289</v>
      </c>
      <c r="R44" s="7" t="str">
        <f>INDEX('Brown tagset'!$B:$B,MATCH(IF(ISERROR(FIND("-",Q44)),IF(ISERROR(FIND("+",Q44)),Q44,LEFT(Q44,FIND("+",Q44)-1)),LEFT(Q44,FIND("-",Q44)-1)),'Brown tagset'!$A:$A,0))</f>
        <v>singular or mass noun</v>
      </c>
      <c r="S44" s="7"/>
      <c r="T44" s="7" t="str">
        <f>INDEX('Brown-Universal mapping'!$B:$B,MATCH(Q44,'Brown-Universal mapping'!$A:$A,0))</f>
        <v>NOUN</v>
      </c>
      <c r="U44" s="7">
        <f t="shared" si="2"/>
        <v>1</v>
      </c>
      <c r="V44" s="7">
        <f t="shared" si="3"/>
        <v>1</v>
      </c>
      <c r="X44" s="12" t="s">
        <v>47</v>
      </c>
      <c r="Y44" s="7" t="s">
        <v>289</v>
      </c>
      <c r="Z44" s="7" t="str">
        <f>INDEX('Brown tagset'!$B:$B,MATCH(IF(ISERROR(FIND("-",Y44)),IF(ISERROR(FIND("+",Y44)),Y44,LEFT(Y44,FIND("+",Y44)-1)),LEFT(Y44,FIND("-",Y44)-1)),'Brown tagset'!$A:$A,0))</f>
        <v>singular or mass noun</v>
      </c>
      <c r="AA44" s="7"/>
      <c r="AB44" s="7" t="str">
        <f>INDEX('Brown-Universal mapping'!$B:$B,MATCH(Y44,'Brown-Universal mapping'!$A:$A,0))</f>
        <v>NOUN</v>
      </c>
      <c r="AC44" s="7">
        <f t="shared" si="4"/>
        <v>1</v>
      </c>
      <c r="AD44" s="7">
        <f t="shared" si="5"/>
        <v>1</v>
      </c>
      <c r="AF44" s="9" t="s">
        <v>340</v>
      </c>
      <c r="AG44" s="9" t="str">
        <f>INDEX('Brown tagset'!$B:$B,MATCH(IF(ISERROR(FIND("-",AF44)),IF(ISERROR(FIND("+",AF44)),AF44,LEFT(AF44,FIND("+",AF44)-1)),LEFT(AF44,FIND("-",AF44)-1)),'Brown tagset'!$A:$A,0))</f>
        <v>unknown</v>
      </c>
      <c r="AH44" s="9" t="s">
        <v>2</v>
      </c>
      <c r="AI44" s="9" t="str">
        <f>INDEX('Brown-Universal mapping'!$B:$B,MATCH(AF44,'Brown-Universal mapping'!$A:$A,0))</f>
        <v>Unknown</v>
      </c>
      <c r="AJ44" s="9">
        <f t="shared" si="6"/>
        <v>0</v>
      </c>
      <c r="AK44" s="9">
        <f t="shared" si="7"/>
        <v>0</v>
      </c>
      <c r="AM44" s="6">
        <f t="shared" si="8"/>
        <v>1</v>
      </c>
      <c r="AN44" s="6">
        <f t="shared" si="9"/>
        <v>1</v>
      </c>
      <c r="AP44" s="6" t="str">
        <f t="shared" si="10"/>
        <v>unknown1</v>
      </c>
    </row>
    <row r="45" spans="1:42" x14ac:dyDescent="0.25">
      <c r="A45" s="4" t="s">
        <v>48</v>
      </c>
      <c r="D45" s="3" t="s">
        <v>31</v>
      </c>
      <c r="E45" s="3" t="str">
        <f>INDEX('Brown tagset'!$B:$B,MATCH(IF(ISERROR(FIND("-",D45)),IF(ISERROR(FIND("+",D45)),D45,LEFT(D45,FIND("+",D45)-1)),LEFT(D45,FIND("-",D45)-1)),'Brown tagset'!$A:$A,0))</f>
        <v>plural noun</v>
      </c>
      <c r="F45" s="3"/>
      <c r="G45" s="3" t="str">
        <f>INDEX('Brown-Universal mapping'!$B:$B,MATCH(D45,'Brown-Universal mapping'!$A:$A,0))</f>
        <v>NOUN</v>
      </c>
      <c r="I45" s="5" t="s">
        <v>31</v>
      </c>
      <c r="J45" s="5" t="str">
        <f>INDEX('Brown tagset'!$B:$B,MATCH(IF(ISERROR(FIND("-",I45)),IF(ISERROR(FIND("+",I45)),I45,LEFT(I45,FIND("+",I45)-1)),LEFT(I45,FIND("-",I45)-1)),'Brown tagset'!$A:$A,0))</f>
        <v>plural noun</v>
      </c>
      <c r="K45" s="5" t="s">
        <v>13</v>
      </c>
      <c r="L45" s="5" t="str">
        <f>INDEX('Brown-Universal mapping'!$B:$B,MATCH(I45,'Brown-Universal mapping'!$A:$A,0))</f>
        <v>NOUN</v>
      </c>
      <c r="M45" s="5">
        <f t="shared" si="0"/>
        <v>1</v>
      </c>
      <c r="N45" s="5">
        <f t="shared" si="1"/>
        <v>1</v>
      </c>
      <c r="P45" s="12" t="s">
        <v>48</v>
      </c>
      <c r="Q45" s="7" t="s">
        <v>295</v>
      </c>
      <c r="R45" s="7" t="str">
        <f>INDEX('Brown tagset'!$B:$B,MATCH(IF(ISERROR(FIND("-",Q45)),IF(ISERROR(FIND("+",Q45)),Q45,LEFT(Q45,FIND("+",Q45)-1)),LEFT(Q45,FIND("-",Q45)-1)),'Brown tagset'!$A:$A,0))</f>
        <v>plural noun</v>
      </c>
      <c r="S45" s="7"/>
      <c r="T45" s="7" t="str">
        <f>INDEX('Brown-Universal mapping'!$B:$B,MATCH(Q45,'Brown-Universal mapping'!$A:$A,0))</f>
        <v>NOUN</v>
      </c>
      <c r="U45" s="7">
        <f t="shared" si="2"/>
        <v>1</v>
      </c>
      <c r="V45" s="7">
        <f t="shared" si="3"/>
        <v>1</v>
      </c>
      <c r="X45" s="12" t="s">
        <v>48</v>
      </c>
      <c r="Y45" s="7" t="s">
        <v>295</v>
      </c>
      <c r="Z45" s="7" t="str">
        <f>INDEX('Brown tagset'!$B:$B,MATCH(IF(ISERROR(FIND("-",Y45)),IF(ISERROR(FIND("+",Y45)),Y45,LEFT(Y45,FIND("+",Y45)-1)),LEFT(Y45,FIND("-",Y45)-1)),'Brown tagset'!$A:$A,0))</f>
        <v>plural noun</v>
      </c>
      <c r="AA45" s="7"/>
      <c r="AB45" s="7" t="str">
        <f>INDEX('Brown-Universal mapping'!$B:$B,MATCH(Y45,'Brown-Universal mapping'!$A:$A,0))</f>
        <v>NOUN</v>
      </c>
      <c r="AC45" s="7">
        <f t="shared" si="4"/>
        <v>1</v>
      </c>
      <c r="AD45" s="7">
        <f t="shared" si="5"/>
        <v>1</v>
      </c>
      <c r="AF45" s="9" t="s">
        <v>31</v>
      </c>
      <c r="AG45" s="9" t="str">
        <f>INDEX('Brown tagset'!$B:$B,MATCH(IF(ISERROR(FIND("-",AF45)),IF(ISERROR(FIND("+",AF45)),AF45,LEFT(AF45,FIND("+",AF45)-1)),LEFT(AF45,FIND("-",AF45)-1)),'Brown tagset'!$A:$A,0))</f>
        <v>plural noun</v>
      </c>
      <c r="AH45" s="9" t="s">
        <v>13</v>
      </c>
      <c r="AI45" s="9" t="str">
        <f>INDEX('Brown-Universal mapping'!$B:$B,MATCH(AF45,'Brown-Universal mapping'!$A:$A,0))</f>
        <v>NOUN</v>
      </c>
      <c r="AJ45" s="9">
        <f t="shared" si="6"/>
        <v>1</v>
      </c>
      <c r="AK45" s="9">
        <f t="shared" si="7"/>
        <v>1</v>
      </c>
      <c r="AM45" s="6">
        <f t="shared" si="8"/>
        <v>3</v>
      </c>
      <c r="AN45" s="6">
        <f t="shared" si="9"/>
        <v>3</v>
      </c>
      <c r="AP45" s="6" t="str">
        <f t="shared" si="10"/>
        <v>plural noun3</v>
      </c>
    </row>
    <row r="46" spans="1:42" x14ac:dyDescent="0.25">
      <c r="A46" s="4" t="s">
        <v>49</v>
      </c>
      <c r="D46" s="3" t="s">
        <v>49</v>
      </c>
      <c r="E46" s="3" t="str">
        <f>INDEX('Brown tagset'!$B:$B,MATCH(IF(ISERROR(FIND("-",D46)),IF(ISERROR(FIND("+",D46)),D46,LEFT(D46,FIND("+",D46)-1)),LEFT(D46,FIND("-",D46)-1)),'Brown tagset'!$A:$A,0))</f>
        <v>begin quotation</v>
      </c>
      <c r="F46" s="3"/>
      <c r="G46" s="3" t="str">
        <f>INDEX('Brown-Universal mapping'!$B:$B,MATCH(D46,'Brown-Universal mapping'!$A:$A,0))</f>
        <v>.</v>
      </c>
      <c r="I46" s="5" t="s">
        <v>49</v>
      </c>
      <c r="J46" s="5" t="str">
        <f>INDEX('Brown tagset'!$B:$B,MATCH(IF(ISERROR(FIND("-",I46)),IF(ISERROR(FIND("+",I46)),I46,LEFT(I46,FIND("+",I46)-1)),LEFT(I46,FIND("-",I46)-1)),'Brown tagset'!$A:$A,0))</f>
        <v>begin quotation</v>
      </c>
      <c r="K46" s="5" t="s">
        <v>38</v>
      </c>
      <c r="L46" s="5" t="str">
        <f>INDEX('Brown-Universal mapping'!$B:$B,MATCH(I46,'Brown-Universal mapping'!$A:$A,0))</f>
        <v>.</v>
      </c>
      <c r="M46" s="5">
        <f t="shared" si="0"/>
        <v>1</v>
      </c>
      <c r="N46" s="5">
        <f t="shared" si="1"/>
        <v>1</v>
      </c>
      <c r="P46" s="12" t="s">
        <v>49</v>
      </c>
      <c r="Q46" s="7" t="s">
        <v>49</v>
      </c>
      <c r="R46" s="7" t="str">
        <f>INDEX('Brown tagset'!$B:$B,MATCH(IF(ISERROR(FIND("-",Q46)),IF(ISERROR(FIND("+",Q46)),Q46,LEFT(Q46,FIND("+",Q46)-1)),LEFT(Q46,FIND("-",Q46)-1)),'Brown tagset'!$A:$A,0))</f>
        <v>begin quotation</v>
      </c>
      <c r="S46" s="7"/>
      <c r="T46" s="7" t="str">
        <f>INDEX('Brown-Universal mapping'!$B:$B,MATCH(Q46,'Brown-Universal mapping'!$A:$A,0))</f>
        <v>.</v>
      </c>
      <c r="U46" s="7">
        <f t="shared" si="2"/>
        <v>1</v>
      </c>
      <c r="V46" s="7">
        <f t="shared" si="3"/>
        <v>1</v>
      </c>
      <c r="X46" s="12" t="s">
        <v>49</v>
      </c>
      <c r="Y46" s="7" t="s">
        <v>49</v>
      </c>
      <c r="Z46" s="7" t="str">
        <f>INDEX('Brown tagset'!$B:$B,MATCH(IF(ISERROR(FIND("-",Y46)),IF(ISERROR(FIND("+",Y46)),Y46,LEFT(Y46,FIND("+",Y46)-1)),LEFT(Y46,FIND("-",Y46)-1)),'Brown tagset'!$A:$A,0))</f>
        <v>begin quotation</v>
      </c>
      <c r="AA46" s="7"/>
      <c r="AB46" s="7" t="str">
        <f>INDEX('Brown-Universal mapping'!$B:$B,MATCH(Y46,'Brown-Universal mapping'!$A:$A,0))</f>
        <v>.</v>
      </c>
      <c r="AC46" s="7">
        <f t="shared" si="4"/>
        <v>1</v>
      </c>
      <c r="AD46" s="7">
        <f t="shared" si="5"/>
        <v>1</v>
      </c>
      <c r="AF46" s="9" t="s">
        <v>49</v>
      </c>
      <c r="AG46" s="9" t="str">
        <f>INDEX('Brown tagset'!$B:$B,MATCH(IF(ISERROR(FIND("-",AF46)),IF(ISERROR(FIND("+",AF46)),AF46,LEFT(AF46,FIND("+",AF46)-1)),LEFT(AF46,FIND("-",AF46)-1)),'Brown tagset'!$A:$A,0))</f>
        <v>begin quotation</v>
      </c>
      <c r="AH46" s="9" t="s">
        <v>38</v>
      </c>
      <c r="AI46" s="9" t="str">
        <f>INDEX('Brown-Universal mapping'!$B:$B,MATCH(AF46,'Brown-Universal mapping'!$A:$A,0))</f>
        <v>.</v>
      </c>
      <c r="AJ46" s="9">
        <f t="shared" si="6"/>
        <v>1</v>
      </c>
      <c r="AK46" s="9">
        <f t="shared" si="7"/>
        <v>1</v>
      </c>
      <c r="AM46" s="6">
        <f t="shared" si="8"/>
        <v>3</v>
      </c>
      <c r="AN46" s="6">
        <f t="shared" si="9"/>
        <v>3</v>
      </c>
      <c r="AP46" s="6" t="str">
        <f t="shared" si="10"/>
        <v>begin quotation3</v>
      </c>
    </row>
    <row r="47" spans="1:42" x14ac:dyDescent="0.25">
      <c r="A47" s="4" t="s">
        <v>28</v>
      </c>
      <c r="D47" s="3" t="s">
        <v>29</v>
      </c>
      <c r="E47" s="3" t="str">
        <f>INDEX('Brown tagset'!$B:$B,MATCH(IF(ISERROR(FIND("-",D47)),IF(ISERROR(FIND("+",D47)),D47,LEFT(D47,FIND("+",D47)-1)),LEFT(D47,FIND("-",D47)-1)),'Brown tagset'!$A:$A,0))</f>
        <v>subordinating conjunction (if, although)</v>
      </c>
      <c r="F47" s="3"/>
      <c r="G47" s="3" t="str">
        <f>INDEX('Brown-Universal mapping'!$B:$B,MATCH(D47,'Brown-Universal mapping'!$A:$A,0))</f>
        <v>ADP</v>
      </c>
      <c r="I47" s="5" t="s">
        <v>29</v>
      </c>
      <c r="J47" s="5" t="str">
        <f>INDEX('Brown tagset'!$B:$B,MATCH(IF(ISERROR(FIND("-",I47)),IF(ISERROR(FIND("+",I47)),I47,LEFT(I47,FIND("+",I47)-1)),LEFT(I47,FIND("-",I47)-1)),'Brown tagset'!$A:$A,0))</f>
        <v>subordinating conjunction (if, although)</v>
      </c>
      <c r="K47" s="5" t="s">
        <v>2</v>
      </c>
      <c r="L47" s="5" t="str">
        <f>INDEX('Brown-Universal mapping'!$B:$B,MATCH(I47,'Brown-Universal mapping'!$A:$A,0))</f>
        <v>ADP</v>
      </c>
      <c r="M47" s="5">
        <f t="shared" si="0"/>
        <v>1</v>
      </c>
      <c r="N47" s="5">
        <f t="shared" si="1"/>
        <v>1</v>
      </c>
      <c r="P47" s="12" t="s">
        <v>28</v>
      </c>
      <c r="Q47" s="7" t="s">
        <v>294</v>
      </c>
      <c r="R47" s="7" t="str">
        <f>INDEX('Brown tagset'!$B:$B,MATCH(IF(ISERROR(FIND("-",Q47)),IF(ISERROR(FIND("+",Q47)),Q47,LEFT(Q47,FIND("+",Q47)-1)),LEFT(Q47,FIND("-",Q47)-1)),'Brown tagset'!$A:$A,0))</f>
        <v>subordinating conjunction (if, although)</v>
      </c>
      <c r="S47" s="7"/>
      <c r="T47" s="7" t="str">
        <f>INDEX('Brown-Universal mapping'!$B:$B,MATCH(Q47,'Brown-Universal mapping'!$A:$A,0))</f>
        <v>ADP</v>
      </c>
      <c r="U47" s="7">
        <f t="shared" si="2"/>
        <v>1</v>
      </c>
      <c r="V47" s="7">
        <f t="shared" si="3"/>
        <v>1</v>
      </c>
      <c r="X47" s="6" t="s">
        <v>28</v>
      </c>
      <c r="Y47" s="7" t="s">
        <v>294</v>
      </c>
      <c r="Z47" s="7" t="str">
        <f>INDEX('Brown tagset'!$B:$B,MATCH(IF(ISERROR(FIND("-",Y47)),IF(ISERROR(FIND("+",Y47)),Y47,LEFT(Y47,FIND("+",Y47)-1)),LEFT(Y47,FIND("-",Y47)-1)),'Brown tagset'!$A:$A,0))</f>
        <v>subordinating conjunction (if, although)</v>
      </c>
      <c r="AA47" s="7"/>
      <c r="AB47" s="7" t="s">
        <v>881</v>
      </c>
      <c r="AC47" s="7">
        <f t="shared" si="4"/>
        <v>1</v>
      </c>
      <c r="AD47" s="7">
        <f t="shared" si="5"/>
        <v>1</v>
      </c>
      <c r="AF47" s="9" t="s">
        <v>29</v>
      </c>
      <c r="AG47" s="9" t="str">
        <f>INDEX('Brown tagset'!$B:$B,MATCH(IF(ISERROR(FIND("-",AF47)),IF(ISERROR(FIND("+",AF47)),AF47,LEFT(AF47,FIND("+",AF47)-1)),LEFT(AF47,FIND("-",AF47)-1)),'Brown tagset'!$A:$A,0))</f>
        <v>subordinating conjunction (if, although)</v>
      </c>
      <c r="AH47" s="9" t="s">
        <v>2</v>
      </c>
      <c r="AI47" s="9" t="str">
        <f>INDEX('Brown-Universal mapping'!$B:$B,MATCH(AF47,'Brown-Universal mapping'!$A:$A,0))</f>
        <v>ADP</v>
      </c>
      <c r="AJ47" s="9">
        <f t="shared" si="6"/>
        <v>1</v>
      </c>
      <c r="AK47" s="9">
        <f t="shared" si="7"/>
        <v>1</v>
      </c>
      <c r="AM47" s="6">
        <f t="shared" si="8"/>
        <v>3</v>
      </c>
      <c r="AN47" s="6">
        <f t="shared" si="9"/>
        <v>3</v>
      </c>
      <c r="AP47" s="6" t="str">
        <f t="shared" si="10"/>
        <v>subordinating conjunction (if, although)3</v>
      </c>
    </row>
    <row r="48" spans="1:42" x14ac:dyDescent="0.25">
      <c r="A48" s="4" t="s">
        <v>37</v>
      </c>
      <c r="D48" s="3" t="s">
        <v>37</v>
      </c>
      <c r="E48" s="3" t="str">
        <f>INDEX('Brown tagset'!$B:$B,MATCH(IF(ISERROR(FIND("-",D48)),IF(ISERROR(FIND("+",D48)),D48,LEFT(D48,FIND("+",D48)-1)),LEFT(D48,FIND("-",D48)-1)),'Brown tagset'!$A:$A,0))</f>
        <v>end quotation</v>
      </c>
      <c r="F48" s="3"/>
      <c r="G48" s="3" t="str">
        <f>INDEX('Brown-Universal mapping'!$B:$B,MATCH(D48,'Brown-Universal mapping'!$A:$A,0))</f>
        <v>.</v>
      </c>
      <c r="I48" s="5" t="s">
        <v>37</v>
      </c>
      <c r="J48" s="5" t="str">
        <f>INDEX('Brown tagset'!$B:$B,MATCH(IF(ISERROR(FIND("-",I48)),IF(ISERROR(FIND("+",I48)),I48,LEFT(I48,FIND("+",I48)-1)),LEFT(I48,FIND("-",I48)-1)),'Brown tagset'!$A:$A,0))</f>
        <v>end quotation</v>
      </c>
      <c r="K48" s="5" t="s">
        <v>38</v>
      </c>
      <c r="L48" s="5" t="str">
        <f>INDEX('Brown-Universal mapping'!$B:$B,MATCH(I48,'Brown-Universal mapping'!$A:$A,0))</f>
        <v>.</v>
      </c>
      <c r="M48" s="5">
        <f t="shared" si="0"/>
        <v>1</v>
      </c>
      <c r="N48" s="5">
        <f t="shared" si="1"/>
        <v>1</v>
      </c>
      <c r="P48" s="12" t="s">
        <v>37</v>
      </c>
      <c r="Q48" s="7" t="s">
        <v>37</v>
      </c>
      <c r="R48" s="7" t="str">
        <f>INDEX('Brown tagset'!$B:$B,MATCH(IF(ISERROR(FIND("-",Q48)),IF(ISERROR(FIND("+",Q48)),Q48,LEFT(Q48,FIND("+",Q48)-1)),LEFT(Q48,FIND("-",Q48)-1)),'Brown tagset'!$A:$A,0))</f>
        <v>end quotation</v>
      </c>
      <c r="S48" s="7"/>
      <c r="T48" s="7" t="str">
        <f>INDEX('Brown-Universal mapping'!$B:$B,MATCH(Q48,'Brown-Universal mapping'!$A:$A,0))</f>
        <v>.</v>
      </c>
      <c r="U48" s="7">
        <f t="shared" si="2"/>
        <v>1</v>
      </c>
      <c r="V48" s="7">
        <f t="shared" si="3"/>
        <v>1</v>
      </c>
      <c r="X48" s="12" t="s">
        <v>37</v>
      </c>
      <c r="Y48" s="7" t="s">
        <v>37</v>
      </c>
      <c r="Z48" s="7" t="str">
        <f>INDEX('Brown tagset'!$B:$B,MATCH(IF(ISERROR(FIND("-",Y48)),IF(ISERROR(FIND("+",Y48)),Y48,LEFT(Y48,FIND("+",Y48)-1)),LEFT(Y48,FIND("-",Y48)-1)),'Brown tagset'!$A:$A,0))</f>
        <v>end quotation</v>
      </c>
      <c r="AA48" s="7"/>
      <c r="AB48" s="7" t="str">
        <f>INDEX('Brown-Universal mapping'!$B:$B,MATCH(Y48,'Brown-Universal mapping'!$A:$A,0))</f>
        <v>.</v>
      </c>
      <c r="AC48" s="7">
        <f t="shared" si="4"/>
        <v>1</v>
      </c>
      <c r="AD48" s="7">
        <f t="shared" si="5"/>
        <v>1</v>
      </c>
      <c r="AF48" s="9" t="s">
        <v>37</v>
      </c>
      <c r="AG48" s="9" t="str">
        <f>INDEX('Brown tagset'!$B:$B,MATCH(IF(ISERROR(FIND("-",AF48)),IF(ISERROR(FIND("+",AF48)),AF48,LEFT(AF48,FIND("+",AF48)-1)),LEFT(AF48,FIND("-",AF48)-1)),'Brown tagset'!$A:$A,0))</f>
        <v>end quotation</v>
      </c>
      <c r="AH48" s="9" t="s">
        <v>38</v>
      </c>
      <c r="AI48" s="9" t="str">
        <f>INDEX('Brown-Universal mapping'!$B:$B,MATCH(AF48,'Brown-Universal mapping'!$A:$A,0))</f>
        <v>.</v>
      </c>
      <c r="AJ48" s="9">
        <f t="shared" si="6"/>
        <v>1</v>
      </c>
      <c r="AK48" s="9">
        <f t="shared" si="7"/>
        <v>1</v>
      </c>
      <c r="AM48" s="6">
        <f t="shared" si="8"/>
        <v>3</v>
      </c>
      <c r="AN48" s="6">
        <f t="shared" si="9"/>
        <v>3</v>
      </c>
      <c r="AP48" s="6" t="str">
        <f t="shared" si="10"/>
        <v>end quotation3</v>
      </c>
    </row>
    <row r="49" spans="1:42" x14ac:dyDescent="0.25">
      <c r="A49" s="4" t="s">
        <v>50</v>
      </c>
      <c r="D49" s="3" t="s">
        <v>51</v>
      </c>
      <c r="E49" s="3" t="str">
        <f>INDEX('Brown tagset'!$B:$B,MATCH(IF(ISERROR(FIND("-",D49)),IF(ISERROR(FIND("+",D49)),D49,LEFT(D49,FIND("+",D49)-1)),LEFT(D49,FIND("-",D49)-1)),'Brown tagset'!$A:$A,0))</f>
        <v>other nominative personal pronoun (I, we, they, you)</v>
      </c>
      <c r="F49" s="3"/>
      <c r="G49" s="3" t="str">
        <f>INDEX('Brown-Universal mapping'!$B:$B,MATCH(D49,'Brown-Universal mapping'!$A:$A,0))</f>
        <v>PRT</v>
      </c>
      <c r="I49" s="5" t="s">
        <v>51</v>
      </c>
      <c r="J49" s="5" t="str">
        <f>INDEX('Brown tagset'!$B:$B,MATCH(IF(ISERROR(FIND("-",I49)),IF(ISERROR(FIND("+",I49)),I49,LEFT(I49,FIND("+",I49)-1)),LEFT(I49,FIND("-",I49)-1)),'Brown tagset'!$A:$A,0))</f>
        <v>other nominative personal pronoun (I, we, they, you)</v>
      </c>
      <c r="K49" s="5" t="s">
        <v>2</v>
      </c>
      <c r="L49" s="5" t="str">
        <f>INDEX('Brown-Universal mapping'!$B:$B,MATCH(I49,'Brown-Universal mapping'!$A:$A,0))</f>
        <v>PRT</v>
      </c>
      <c r="M49" s="5">
        <f t="shared" si="0"/>
        <v>1</v>
      </c>
      <c r="N49" s="5">
        <f t="shared" si="1"/>
        <v>1</v>
      </c>
      <c r="P49" s="12" t="s">
        <v>112</v>
      </c>
      <c r="Q49" s="7" t="s">
        <v>300</v>
      </c>
      <c r="R49" s="7" t="str">
        <f>INDEX('Brown tagset'!$B:$B,MATCH(IF(ISERROR(FIND("-",Q49)),IF(ISERROR(FIND("+",Q49)),Q49,LEFT(Q49,FIND("+",Q49)-1)),LEFT(Q49,FIND("-",Q49)-1)),'Brown tagset'!$A:$A,0))</f>
        <v>other nominative personal pronoun (I, we, they, you)</v>
      </c>
      <c r="S49" s="7"/>
      <c r="T49" s="7" t="str">
        <f>INDEX('Brown-Universal mapping'!$B:$B,MATCH(Q49,'Brown-Universal mapping'!$A:$A,0))</f>
        <v>PRON</v>
      </c>
      <c r="U49" s="7">
        <f t="shared" si="2"/>
        <v>0</v>
      </c>
      <c r="V49" s="7">
        <f t="shared" si="3"/>
        <v>0</v>
      </c>
      <c r="X49" s="6" t="s">
        <v>50</v>
      </c>
      <c r="Y49" s="7" t="s">
        <v>874</v>
      </c>
      <c r="Z49" s="7" t="str">
        <f>INDEX('Brown tagset'!$B:$B,MATCH(IF(ISERROR(FIND("-",Y49)),IF(ISERROR(FIND("+",Y49)),Y49,LEFT(Y49,FIND("+",Y49)-1)),LEFT(Y49,FIND("-",Y49)-1)),'Brown tagset'!$A:$A,0))</f>
        <v>other nominative personal pronoun (I, we, they, you)</v>
      </c>
      <c r="AA49" s="7"/>
      <c r="AB49" s="7" t="s">
        <v>18</v>
      </c>
      <c r="AC49" s="7">
        <f t="shared" si="4"/>
        <v>1</v>
      </c>
      <c r="AD49" s="7">
        <f t="shared" si="5"/>
        <v>1</v>
      </c>
      <c r="AF49" s="9" t="s">
        <v>51</v>
      </c>
      <c r="AG49" s="9" t="str">
        <f>INDEX('Brown tagset'!$B:$B,MATCH(IF(ISERROR(FIND("-",AF49)),IF(ISERROR(FIND("+",AF49)),AF49,LEFT(AF49,FIND("+",AF49)-1)),LEFT(AF49,FIND("-",AF49)-1)),'Brown tagset'!$A:$A,0))</f>
        <v>other nominative personal pronoun (I, we, they, you)</v>
      </c>
      <c r="AH49" s="9" t="s">
        <v>2</v>
      </c>
      <c r="AI49" s="9" t="str">
        <f>INDEX('Brown-Universal mapping'!$B:$B,MATCH(AF49,'Brown-Universal mapping'!$A:$A,0))</f>
        <v>PRT</v>
      </c>
      <c r="AJ49" s="9">
        <f t="shared" si="6"/>
        <v>1</v>
      </c>
      <c r="AK49" s="9">
        <f t="shared" si="7"/>
        <v>1</v>
      </c>
      <c r="AM49" s="6">
        <f t="shared" si="8"/>
        <v>3</v>
      </c>
      <c r="AN49" s="6">
        <f t="shared" si="9"/>
        <v>3</v>
      </c>
      <c r="AP49" s="6" t="str">
        <f t="shared" si="10"/>
        <v>other nominative personal pronoun (I, we, they, you)3</v>
      </c>
    </row>
    <row r="50" spans="1:42" x14ac:dyDescent="0.25">
      <c r="A50" s="25" t="s">
        <v>52</v>
      </c>
      <c r="B50" s="25"/>
      <c r="D50" s="3" t="s">
        <v>35</v>
      </c>
      <c r="E50" s="3" t="str">
        <f>INDEX('Brown tagset'!$B:$B,MATCH(IF(ISERROR(FIND("-",D50)),IF(ISERROR(FIND("+",D50)),D50,LEFT(D50,FIND("+",D50)-1)),LEFT(D50,FIND("-",D50)-1)),'Brown tagset'!$A:$A,0))</f>
        <v>verb, base form</v>
      </c>
      <c r="F50" s="3"/>
      <c r="G50" s="3" t="str">
        <f>INDEX('Brown-Universal mapping'!$B:$B,MATCH(D50,'Brown-Universal mapping'!$A:$A,0))</f>
        <v>VERB</v>
      </c>
      <c r="I50" s="5" t="s">
        <v>35</v>
      </c>
      <c r="J50" s="5" t="str">
        <f>INDEX('Brown tagset'!$B:$B,MATCH(IF(ISERROR(FIND("-",I50)),IF(ISERROR(FIND("+",I50)),I50,LEFT(I50,FIND("+",I50)-1)),LEFT(I50,FIND("-",I50)-1)),'Brown tagset'!$A:$A,0))</f>
        <v>verb, base form</v>
      </c>
      <c r="K50" s="5" t="s">
        <v>10</v>
      </c>
      <c r="L50" s="5" t="str">
        <f>INDEX('Brown-Universal mapping'!$B:$B,MATCH(I50,'Brown-Universal mapping'!$A:$A,0))</f>
        <v>VERB</v>
      </c>
      <c r="M50" s="5">
        <f t="shared" si="0"/>
        <v>1</v>
      </c>
      <c r="N50" s="5">
        <f t="shared" si="1"/>
        <v>1</v>
      </c>
      <c r="P50" s="12" t="s">
        <v>52</v>
      </c>
      <c r="Q50" s="7" t="s">
        <v>299</v>
      </c>
      <c r="R50" s="7" t="str">
        <f>INDEX('Brown tagset'!$B:$B,MATCH(IF(ISERROR(FIND("-",Q50)),IF(ISERROR(FIND("+",Q50)),Q50,LEFT(Q50,FIND("+",Q50)-1)),LEFT(Q50,FIND("-",Q50)-1)),'Brown tagset'!$A:$A,0))</f>
        <v>adjective</v>
      </c>
      <c r="S50" s="7"/>
      <c r="T50" s="7" t="str">
        <f>INDEX('Brown-Universal mapping'!$B:$B,MATCH(Q50,'Brown-Universal mapping'!$A:$A,0))</f>
        <v>ADJ</v>
      </c>
      <c r="U50" s="7">
        <f t="shared" si="2"/>
        <v>0</v>
      </c>
      <c r="V50" s="7">
        <f t="shared" si="3"/>
        <v>0</v>
      </c>
      <c r="X50" s="12" t="s">
        <v>52</v>
      </c>
      <c r="Y50" s="7" t="s">
        <v>296</v>
      </c>
      <c r="Z50" s="7" t="str">
        <f>INDEX('Brown tagset'!$B:$B,MATCH(IF(ISERROR(FIND("-",Y50)),IF(ISERROR(FIND("+",Y50)),Y50,LEFT(Y50,FIND("+",Y50)-1)),LEFT(Y50,FIND("-",Y50)-1)),'Brown tagset'!$A:$A,0))</f>
        <v>verb, base form</v>
      </c>
      <c r="AA50" s="7"/>
      <c r="AB50" s="7" t="str">
        <f>INDEX('Brown-Universal mapping'!$B:$B,MATCH(Y50,'Brown-Universal mapping'!$A:$A,0))</f>
        <v>VERB</v>
      </c>
      <c r="AC50" s="7">
        <f t="shared" si="4"/>
        <v>1</v>
      </c>
      <c r="AD50" s="7">
        <f t="shared" si="5"/>
        <v>1</v>
      </c>
      <c r="AF50" s="9" t="s">
        <v>340</v>
      </c>
      <c r="AG50" s="9" t="str">
        <f>INDEX('Brown tagset'!$B:$B,MATCH(IF(ISERROR(FIND("-",AF50)),IF(ISERROR(FIND("+",AF50)),AF50,LEFT(AF50,FIND("+",AF50)-1)),LEFT(AF50,FIND("-",AF50)-1)),'Brown tagset'!$A:$A,0))</f>
        <v>unknown</v>
      </c>
      <c r="AH50" s="9" t="s">
        <v>2</v>
      </c>
      <c r="AI50" s="9" t="str">
        <f>INDEX('Brown-Universal mapping'!$B:$B,MATCH(AF50,'Brown-Universal mapping'!$A:$A,0))</f>
        <v>Unknown</v>
      </c>
      <c r="AJ50" s="9">
        <f t="shared" si="6"/>
        <v>0</v>
      </c>
      <c r="AK50" s="9">
        <f t="shared" si="7"/>
        <v>0</v>
      </c>
      <c r="AM50" s="6">
        <f t="shared" si="8"/>
        <v>2</v>
      </c>
      <c r="AN50" s="6">
        <f t="shared" si="9"/>
        <v>2</v>
      </c>
      <c r="AP50" s="6" t="str">
        <f t="shared" si="10"/>
        <v>unknown2</v>
      </c>
    </row>
    <row r="51" spans="1:42" x14ac:dyDescent="0.25">
      <c r="A51" s="4" t="s">
        <v>53</v>
      </c>
      <c r="D51" s="3" t="s">
        <v>22</v>
      </c>
      <c r="E51" s="3" t="str">
        <f>INDEX('Brown tagset'!$B:$B,MATCH(IF(ISERROR(FIND("-",D51)),IF(ISERROR(FIND("+",D51)),D51,LEFT(D51,FIND("+",D51)-1)),LEFT(D51,FIND("-",D51)-1)),'Brown tagset'!$A:$A,0))</f>
        <v>possessive personal pronoun (my, our)</v>
      </c>
      <c r="F51" s="3"/>
      <c r="G51" s="3" t="str">
        <f>INDEX('Brown-Universal mapping'!$B:$B,MATCH(D51,'Brown-Universal mapping'!$A:$A,0))</f>
        <v>DET</v>
      </c>
      <c r="I51" s="5" t="s">
        <v>22</v>
      </c>
      <c r="J51" s="5" t="str">
        <f>INDEX('Brown tagset'!$B:$B,MATCH(IF(ISERROR(FIND("-",I51)),IF(ISERROR(FIND("+",I51)),I51,LEFT(I51,FIND("+",I51)-1)),LEFT(I51,FIND("-",I51)-1)),'Brown tagset'!$A:$A,0))</f>
        <v>possessive personal pronoun (my, our)</v>
      </c>
      <c r="K51" s="5" t="s">
        <v>2</v>
      </c>
      <c r="L51" s="5" t="str">
        <f>INDEX('Brown-Universal mapping'!$B:$B,MATCH(I51,'Brown-Universal mapping'!$A:$A,0))</f>
        <v>DET</v>
      </c>
      <c r="M51" s="5">
        <f t="shared" si="0"/>
        <v>1</v>
      </c>
      <c r="N51" s="5">
        <f t="shared" si="1"/>
        <v>1</v>
      </c>
      <c r="P51" s="12" t="s">
        <v>53</v>
      </c>
      <c r="Q51" s="7" t="s">
        <v>291</v>
      </c>
      <c r="R51" s="7" t="str">
        <f>INDEX('Brown tagset'!$B:$B,MATCH(IF(ISERROR(FIND("-",Q51)),IF(ISERROR(FIND("+",Q51)),Q51,LEFT(Q51,FIND("+",Q51)-1)),LEFT(Q51,FIND("-",Q51)-1)),'Brown tagset'!$A:$A,0))</f>
        <v>possessive personal pronoun (my, our)</v>
      </c>
      <c r="S51" s="7"/>
      <c r="T51" s="7" t="str">
        <f>INDEX('Brown-Universal mapping'!$B:$B,MATCH(Q51,'Brown-Universal mapping'!$A:$A,0))</f>
        <v>DET</v>
      </c>
      <c r="U51" s="7">
        <f t="shared" si="2"/>
        <v>1</v>
      </c>
      <c r="V51" s="7">
        <f t="shared" si="3"/>
        <v>1</v>
      </c>
      <c r="X51" s="6" t="s">
        <v>53</v>
      </c>
      <c r="Y51" s="7" t="s">
        <v>291</v>
      </c>
      <c r="Z51" s="7" t="str">
        <f>INDEX('Brown tagset'!$B:$B,MATCH(IF(ISERROR(FIND("-",Y51)),IF(ISERROR(FIND("+",Y51)),Y51,LEFT(Y51,FIND("+",Y51)-1)),LEFT(Y51,FIND("-",Y51)-1)),'Brown tagset'!$A:$A,0))</f>
        <v>possessive personal pronoun (my, our)</v>
      </c>
      <c r="AA51" s="7"/>
      <c r="AB51" s="7" t="s">
        <v>84</v>
      </c>
      <c r="AC51" s="7">
        <f t="shared" si="4"/>
        <v>1</v>
      </c>
      <c r="AD51" s="7">
        <f t="shared" si="5"/>
        <v>1</v>
      </c>
      <c r="AF51" s="9" t="s">
        <v>22</v>
      </c>
      <c r="AG51" s="9" t="str">
        <f>INDEX('Brown tagset'!$B:$B,MATCH(IF(ISERROR(FIND("-",AF51)),IF(ISERROR(FIND("+",AF51)),AF51,LEFT(AF51,FIND("+",AF51)-1)),LEFT(AF51,FIND("-",AF51)-1)),'Brown tagset'!$A:$A,0))</f>
        <v>possessive personal pronoun (my, our)</v>
      </c>
      <c r="AH51" s="9" t="s">
        <v>2</v>
      </c>
      <c r="AI51" s="9" t="str">
        <f>INDEX('Brown-Universal mapping'!$B:$B,MATCH(AF51,'Brown-Universal mapping'!$A:$A,0))</f>
        <v>DET</v>
      </c>
      <c r="AJ51" s="9">
        <f t="shared" si="6"/>
        <v>1</v>
      </c>
      <c r="AK51" s="9">
        <f t="shared" si="7"/>
        <v>1</v>
      </c>
      <c r="AM51" s="6">
        <f t="shared" si="8"/>
        <v>3</v>
      </c>
      <c r="AN51" s="6">
        <f t="shared" si="9"/>
        <v>3</v>
      </c>
      <c r="AP51" s="6" t="str">
        <f t="shared" si="10"/>
        <v>possessive personal pronoun (my, our)3</v>
      </c>
    </row>
    <row r="52" spans="1:42" x14ac:dyDescent="0.25">
      <c r="A52" s="4" t="s">
        <v>54</v>
      </c>
      <c r="D52" s="3" t="s">
        <v>12</v>
      </c>
      <c r="E52" s="3" t="str">
        <f>INDEX('Brown tagset'!$B:$B,MATCH(IF(ISERROR(FIND("-",D52)),IF(ISERROR(FIND("+",D52)),D52,LEFT(D52,FIND("+",D52)-1)),LEFT(D52,FIND("-",D52)-1)),'Brown tagset'!$A:$A,0))</f>
        <v>singular or mass noun</v>
      </c>
      <c r="F52" s="3"/>
      <c r="G52" s="3" t="str">
        <f>INDEX('Brown-Universal mapping'!$B:$B,MATCH(D52,'Brown-Universal mapping'!$A:$A,0))</f>
        <v>NOUN</v>
      </c>
      <c r="I52" s="5" t="s">
        <v>12</v>
      </c>
      <c r="J52" s="5" t="str">
        <f>INDEX('Brown tagset'!$B:$B,MATCH(IF(ISERROR(FIND("-",I52)),IF(ISERROR(FIND("+",I52)),I52,LEFT(I52,FIND("+",I52)-1)),LEFT(I52,FIND("-",I52)-1)),'Brown tagset'!$A:$A,0))</f>
        <v>singular or mass noun</v>
      </c>
      <c r="K52" s="5" t="s">
        <v>13</v>
      </c>
      <c r="L52" s="5" t="str">
        <f>INDEX('Brown-Universal mapping'!$B:$B,MATCH(I52,'Brown-Universal mapping'!$A:$A,0))</f>
        <v>NOUN</v>
      </c>
      <c r="M52" s="5">
        <f t="shared" si="0"/>
        <v>1</v>
      </c>
      <c r="N52" s="5">
        <f t="shared" si="1"/>
        <v>1</v>
      </c>
      <c r="P52" s="12" t="s">
        <v>54</v>
      </c>
      <c r="Q52" s="7" t="s">
        <v>289</v>
      </c>
      <c r="R52" s="7" t="str">
        <f>INDEX('Brown tagset'!$B:$B,MATCH(IF(ISERROR(FIND("-",Q52)),IF(ISERROR(FIND("+",Q52)),Q52,LEFT(Q52,FIND("+",Q52)-1)),LEFT(Q52,FIND("-",Q52)-1)),'Brown tagset'!$A:$A,0))</f>
        <v>singular or mass noun</v>
      </c>
      <c r="S52" s="7"/>
      <c r="T52" s="7" t="str">
        <f>INDEX('Brown-Universal mapping'!$B:$B,MATCH(Q52,'Brown-Universal mapping'!$A:$A,0))</f>
        <v>NOUN</v>
      </c>
      <c r="U52" s="7">
        <f t="shared" si="2"/>
        <v>1</v>
      </c>
      <c r="V52" s="7">
        <f t="shared" si="3"/>
        <v>1</v>
      </c>
      <c r="X52" s="12" t="s">
        <v>54</v>
      </c>
      <c r="Y52" s="7" t="s">
        <v>289</v>
      </c>
      <c r="Z52" s="7" t="str">
        <f>INDEX('Brown tagset'!$B:$B,MATCH(IF(ISERROR(FIND("-",Y52)),IF(ISERROR(FIND("+",Y52)),Y52,LEFT(Y52,FIND("+",Y52)-1)),LEFT(Y52,FIND("-",Y52)-1)),'Brown tagset'!$A:$A,0))</f>
        <v>singular or mass noun</v>
      </c>
      <c r="AA52" s="7"/>
      <c r="AB52" s="7" t="str">
        <f>INDEX('Brown-Universal mapping'!$B:$B,MATCH(Y52,'Brown-Universal mapping'!$A:$A,0))</f>
        <v>NOUN</v>
      </c>
      <c r="AC52" s="7">
        <f t="shared" si="4"/>
        <v>1</v>
      </c>
      <c r="AD52" s="7">
        <f t="shared" si="5"/>
        <v>1</v>
      </c>
      <c r="AF52" s="9" t="s">
        <v>12</v>
      </c>
      <c r="AG52" s="9" t="str">
        <f>INDEX('Brown tagset'!$B:$B,MATCH(IF(ISERROR(FIND("-",AF52)),IF(ISERROR(FIND("+",AF52)),AF52,LEFT(AF52,FIND("+",AF52)-1)),LEFT(AF52,FIND("-",AF52)-1)),'Brown tagset'!$A:$A,0))</f>
        <v>singular or mass noun</v>
      </c>
      <c r="AH52" s="9" t="s">
        <v>13</v>
      </c>
      <c r="AI52" s="9" t="str">
        <f>INDEX('Brown-Universal mapping'!$B:$B,MATCH(AF52,'Brown-Universal mapping'!$A:$A,0))</f>
        <v>NOUN</v>
      </c>
      <c r="AJ52" s="9">
        <f t="shared" si="6"/>
        <v>1</v>
      </c>
      <c r="AK52" s="9">
        <f t="shared" si="7"/>
        <v>1</v>
      </c>
      <c r="AM52" s="6">
        <f t="shared" si="8"/>
        <v>3</v>
      </c>
      <c r="AN52" s="6">
        <f t="shared" si="9"/>
        <v>3</v>
      </c>
      <c r="AP52" s="6" t="str">
        <f t="shared" si="10"/>
        <v>singular or mass noun3</v>
      </c>
    </row>
    <row r="53" spans="1:42" x14ac:dyDescent="0.25">
      <c r="A53" s="4" t="s">
        <v>49</v>
      </c>
      <c r="D53" s="3" t="s">
        <v>49</v>
      </c>
      <c r="E53" s="3" t="str">
        <f>INDEX('Brown tagset'!$B:$B,MATCH(IF(ISERROR(FIND("-",D53)),IF(ISERROR(FIND("+",D53)),D53,LEFT(D53,FIND("+",D53)-1)),LEFT(D53,FIND("-",D53)-1)),'Brown tagset'!$A:$A,0))</f>
        <v>begin quotation</v>
      </c>
      <c r="F53" s="3"/>
      <c r="G53" s="3" t="str">
        <f>INDEX('Brown-Universal mapping'!$B:$B,MATCH(D53,'Brown-Universal mapping'!$A:$A,0))</f>
        <v>.</v>
      </c>
      <c r="I53" s="5" t="s">
        <v>49</v>
      </c>
      <c r="J53" s="5" t="str">
        <f>INDEX('Brown tagset'!$B:$B,MATCH(IF(ISERROR(FIND("-",I53)),IF(ISERROR(FIND("+",I53)),I53,LEFT(I53,FIND("+",I53)-1)),LEFT(I53,FIND("-",I53)-1)),'Brown tagset'!$A:$A,0))</f>
        <v>begin quotation</v>
      </c>
      <c r="K53" s="5" t="s">
        <v>38</v>
      </c>
      <c r="L53" s="5" t="str">
        <f>INDEX('Brown-Universal mapping'!$B:$B,MATCH(I53,'Brown-Universal mapping'!$A:$A,0))</f>
        <v>.</v>
      </c>
      <c r="M53" s="5">
        <f t="shared" si="0"/>
        <v>1</v>
      </c>
      <c r="N53" s="5">
        <f t="shared" si="1"/>
        <v>1</v>
      </c>
      <c r="P53" s="12" t="s">
        <v>49</v>
      </c>
      <c r="Q53" s="7" t="s">
        <v>49</v>
      </c>
      <c r="R53" s="7" t="str">
        <f>INDEX('Brown tagset'!$B:$B,MATCH(IF(ISERROR(FIND("-",Q53)),IF(ISERROR(FIND("+",Q53)),Q53,LEFT(Q53,FIND("+",Q53)-1)),LEFT(Q53,FIND("-",Q53)-1)),'Brown tagset'!$A:$A,0))</f>
        <v>begin quotation</v>
      </c>
      <c r="S53" s="7"/>
      <c r="T53" s="7" t="str">
        <f>INDEX('Brown-Universal mapping'!$B:$B,MATCH(Q53,'Brown-Universal mapping'!$A:$A,0))</f>
        <v>.</v>
      </c>
      <c r="U53" s="7">
        <f t="shared" si="2"/>
        <v>1</v>
      </c>
      <c r="V53" s="7">
        <f t="shared" si="3"/>
        <v>1</v>
      </c>
      <c r="X53" s="12" t="s">
        <v>49</v>
      </c>
      <c r="Y53" s="7" t="s">
        <v>49</v>
      </c>
      <c r="Z53" s="7" t="str">
        <f>INDEX('Brown tagset'!$B:$B,MATCH(IF(ISERROR(FIND("-",Y53)),IF(ISERROR(FIND("+",Y53)),Y53,LEFT(Y53,FIND("+",Y53)-1)),LEFT(Y53,FIND("-",Y53)-1)),'Brown tagset'!$A:$A,0))</f>
        <v>begin quotation</v>
      </c>
      <c r="AA53" s="7"/>
      <c r="AB53" s="7" t="str">
        <f>INDEX('Brown-Universal mapping'!$B:$B,MATCH(Y53,'Brown-Universal mapping'!$A:$A,0))</f>
        <v>.</v>
      </c>
      <c r="AC53" s="7">
        <f t="shared" si="4"/>
        <v>1</v>
      </c>
      <c r="AD53" s="7">
        <f t="shared" si="5"/>
        <v>1</v>
      </c>
      <c r="AF53" s="9" t="s">
        <v>49</v>
      </c>
      <c r="AG53" s="9" t="str">
        <f>INDEX('Brown tagset'!$B:$B,MATCH(IF(ISERROR(FIND("-",AF53)),IF(ISERROR(FIND("+",AF53)),AF53,LEFT(AF53,FIND("+",AF53)-1)),LEFT(AF53,FIND("-",AF53)-1)),'Brown tagset'!$A:$A,0))</f>
        <v>begin quotation</v>
      </c>
      <c r="AH53" s="9" t="s">
        <v>38</v>
      </c>
      <c r="AI53" s="9" t="str">
        <f>INDEX('Brown-Universal mapping'!$B:$B,MATCH(AF53,'Brown-Universal mapping'!$A:$A,0))</f>
        <v>.</v>
      </c>
      <c r="AJ53" s="9">
        <f t="shared" si="6"/>
        <v>1</v>
      </c>
      <c r="AK53" s="9">
        <f t="shared" si="7"/>
        <v>1</v>
      </c>
      <c r="AM53" s="6">
        <f t="shared" si="8"/>
        <v>3</v>
      </c>
      <c r="AN53" s="6">
        <f t="shared" si="9"/>
        <v>3</v>
      </c>
      <c r="AP53" s="6" t="str">
        <f t="shared" si="10"/>
        <v>begin quotation3</v>
      </c>
    </row>
    <row r="54" spans="1:42" x14ac:dyDescent="0.25">
      <c r="A54" s="4" t="s">
        <v>55</v>
      </c>
      <c r="D54" s="3" t="s">
        <v>26</v>
      </c>
      <c r="E54" s="3" t="str">
        <f>INDEX('Brown tagset'!$B:$B,MATCH(IF(ISERROR(FIND("-",D54)),IF(ISERROR(FIND("+",D54)),D54,LEFT(D54,FIND("+",D54)-1)),LEFT(D54,FIND("-",D54)-1)),'Brown tagset'!$A:$A,0))</f>
        <v>coordinating conjunction (and, or)</v>
      </c>
      <c r="F54" s="3"/>
      <c r="G54" s="3" t="str">
        <f>INDEX('Brown-Universal mapping'!$B:$B,MATCH(D54,'Brown-Universal mapping'!$A:$A,0))</f>
        <v>CONJ</v>
      </c>
      <c r="I54" s="5" t="s">
        <v>26</v>
      </c>
      <c r="J54" s="5" t="str">
        <f>INDEX('Brown tagset'!$B:$B,MATCH(IF(ISERROR(FIND("-",I54)),IF(ISERROR(FIND("+",I54)),I54,LEFT(I54,FIND("+",I54)-1)),LEFT(I54,FIND("-",I54)-1)),'Brown tagset'!$A:$A,0))</f>
        <v>coordinating conjunction (and, or)</v>
      </c>
      <c r="K54" s="5" t="s">
        <v>27</v>
      </c>
      <c r="L54" s="5" t="str">
        <f>INDEX('Brown-Universal mapping'!$B:$B,MATCH(I54,'Brown-Universal mapping'!$A:$A,0))</f>
        <v>CONJ</v>
      </c>
      <c r="M54" s="5">
        <f t="shared" si="0"/>
        <v>1</v>
      </c>
      <c r="N54" s="5">
        <f t="shared" si="1"/>
        <v>1</v>
      </c>
      <c r="P54" s="12" t="s">
        <v>55</v>
      </c>
      <c r="Q54" s="7" t="s">
        <v>293</v>
      </c>
      <c r="R54" s="7" t="str">
        <f>INDEX('Brown tagset'!$B:$B,MATCH(IF(ISERROR(FIND("-",Q54)),IF(ISERROR(FIND("+",Q54)),Q54,LEFT(Q54,FIND("+",Q54)-1)),LEFT(Q54,FIND("-",Q54)-1)),'Brown tagset'!$A:$A,0))</f>
        <v>coordinating conjunction (and, or)</v>
      </c>
      <c r="S54" s="7"/>
      <c r="T54" s="7" t="str">
        <f>INDEX('Brown-Universal mapping'!$B:$B,MATCH(Q54,'Brown-Universal mapping'!$A:$A,0))</f>
        <v>CONJ</v>
      </c>
      <c r="U54" s="7">
        <f t="shared" si="2"/>
        <v>1</v>
      </c>
      <c r="V54" s="7">
        <f t="shared" si="3"/>
        <v>1</v>
      </c>
      <c r="X54" s="12" t="s">
        <v>55</v>
      </c>
      <c r="Y54" s="7" t="s">
        <v>293</v>
      </c>
      <c r="Z54" s="7" t="str">
        <f>INDEX('Brown tagset'!$B:$B,MATCH(IF(ISERROR(FIND("-",Y54)),IF(ISERROR(FIND("+",Y54)),Y54,LEFT(Y54,FIND("+",Y54)-1)),LEFT(Y54,FIND("-",Y54)-1)),'Brown tagset'!$A:$A,0))</f>
        <v>coordinating conjunction (and, or)</v>
      </c>
      <c r="AA54" s="7"/>
      <c r="AB54" s="7" t="str">
        <f>INDEX('Brown-Universal mapping'!$B:$B,MATCH(Y54,'Brown-Universal mapping'!$A:$A,0))</f>
        <v>CONJ</v>
      </c>
      <c r="AC54" s="7">
        <f t="shared" si="4"/>
        <v>1</v>
      </c>
      <c r="AD54" s="7">
        <f t="shared" si="5"/>
        <v>1</v>
      </c>
      <c r="AF54" s="9" t="s">
        <v>26</v>
      </c>
      <c r="AG54" s="9" t="str">
        <f>INDEX('Brown tagset'!$B:$B,MATCH(IF(ISERROR(FIND("-",AF54)),IF(ISERROR(FIND("+",AF54)),AF54,LEFT(AF54,FIND("+",AF54)-1)),LEFT(AF54,FIND("-",AF54)-1)),'Brown tagset'!$A:$A,0))</f>
        <v>coordinating conjunction (and, or)</v>
      </c>
      <c r="AH54" s="9" t="s">
        <v>27</v>
      </c>
      <c r="AI54" s="9" t="str">
        <f>INDEX('Brown-Universal mapping'!$B:$B,MATCH(AF54,'Brown-Universal mapping'!$A:$A,0))</f>
        <v>CONJ</v>
      </c>
      <c r="AJ54" s="9">
        <f t="shared" si="6"/>
        <v>1</v>
      </c>
      <c r="AK54" s="9">
        <f t="shared" si="7"/>
        <v>1</v>
      </c>
      <c r="AM54" s="6">
        <f t="shared" si="8"/>
        <v>3</v>
      </c>
      <c r="AN54" s="6">
        <f t="shared" si="9"/>
        <v>3</v>
      </c>
      <c r="AP54" s="6" t="str">
        <f t="shared" si="10"/>
        <v>coordinating conjunction (and, or)3</v>
      </c>
    </row>
    <row r="55" spans="1:42" x14ac:dyDescent="0.25">
      <c r="A55" s="4" t="s">
        <v>28</v>
      </c>
      <c r="D55" s="3" t="s">
        <v>29</v>
      </c>
      <c r="E55" s="3" t="str">
        <f>INDEX('Brown tagset'!$B:$B,MATCH(IF(ISERROR(FIND("-",D55)),IF(ISERROR(FIND("+",D55)),D55,LEFT(D55,FIND("+",D55)-1)),LEFT(D55,FIND("-",D55)-1)),'Brown tagset'!$A:$A,0))</f>
        <v>subordinating conjunction (if, although)</v>
      </c>
      <c r="F55" s="3"/>
      <c r="G55" s="3" t="str">
        <f>INDEX('Brown-Universal mapping'!$B:$B,MATCH(D55,'Brown-Universal mapping'!$A:$A,0))</f>
        <v>ADP</v>
      </c>
      <c r="I55" s="5" t="s">
        <v>29</v>
      </c>
      <c r="J55" s="5" t="str">
        <f>INDEX('Brown tagset'!$B:$B,MATCH(IF(ISERROR(FIND("-",I55)),IF(ISERROR(FIND("+",I55)),I55,LEFT(I55,FIND("+",I55)-1)),LEFT(I55,FIND("-",I55)-1)),'Brown tagset'!$A:$A,0))</f>
        <v>subordinating conjunction (if, although)</v>
      </c>
      <c r="K55" s="5" t="s">
        <v>2</v>
      </c>
      <c r="L55" s="5" t="str">
        <f>INDEX('Brown-Universal mapping'!$B:$B,MATCH(I55,'Brown-Universal mapping'!$A:$A,0))</f>
        <v>ADP</v>
      </c>
      <c r="M55" s="5">
        <f t="shared" si="0"/>
        <v>1</v>
      </c>
      <c r="N55" s="5">
        <f t="shared" si="1"/>
        <v>1</v>
      </c>
      <c r="P55" s="12" t="s">
        <v>28</v>
      </c>
      <c r="Q55" s="7" t="s">
        <v>294</v>
      </c>
      <c r="R55" s="7" t="str">
        <f>INDEX('Brown tagset'!$B:$B,MATCH(IF(ISERROR(FIND("-",Q55)),IF(ISERROR(FIND("+",Q55)),Q55,LEFT(Q55,FIND("+",Q55)-1)),LEFT(Q55,FIND("-",Q55)-1)),'Brown tagset'!$A:$A,0))</f>
        <v>subordinating conjunction (if, although)</v>
      </c>
      <c r="S55" s="7"/>
      <c r="T55" s="7" t="str">
        <f>INDEX('Brown-Universal mapping'!$B:$B,MATCH(Q55,'Brown-Universal mapping'!$A:$A,0))</f>
        <v>ADP</v>
      </c>
      <c r="U55" s="7">
        <f t="shared" si="2"/>
        <v>1</v>
      </c>
      <c r="V55" s="7">
        <f t="shared" si="3"/>
        <v>1</v>
      </c>
      <c r="X55" s="6" t="s">
        <v>28</v>
      </c>
      <c r="Y55" s="7" t="s">
        <v>294</v>
      </c>
      <c r="Z55" s="7" t="str">
        <f>INDEX('Brown tagset'!$B:$B,MATCH(IF(ISERROR(FIND("-",Y55)),IF(ISERROR(FIND("+",Y55)),Y55,LEFT(Y55,FIND("+",Y55)-1)),LEFT(Y55,FIND("-",Y55)-1)),'Brown tagset'!$A:$A,0))</f>
        <v>subordinating conjunction (if, although)</v>
      </c>
      <c r="AA55" s="7"/>
      <c r="AB55" s="7" t="s">
        <v>881</v>
      </c>
      <c r="AC55" s="7">
        <f t="shared" si="4"/>
        <v>1</v>
      </c>
      <c r="AD55" s="7">
        <f t="shared" si="5"/>
        <v>1</v>
      </c>
      <c r="AF55" s="9" t="s">
        <v>29</v>
      </c>
      <c r="AG55" s="9" t="str">
        <f>INDEX('Brown tagset'!$B:$B,MATCH(IF(ISERROR(FIND("-",AF55)),IF(ISERROR(FIND("+",AF55)),AF55,LEFT(AF55,FIND("+",AF55)-1)),LEFT(AF55,FIND("-",AF55)-1)),'Brown tagset'!$A:$A,0))</f>
        <v>subordinating conjunction (if, although)</v>
      </c>
      <c r="AH55" s="9" t="s">
        <v>2</v>
      </c>
      <c r="AI55" s="9" t="str">
        <f>INDEX('Brown-Universal mapping'!$B:$B,MATCH(AF55,'Brown-Universal mapping'!$A:$A,0))</f>
        <v>ADP</v>
      </c>
      <c r="AJ55" s="9">
        <f t="shared" si="6"/>
        <v>1</v>
      </c>
      <c r="AK55" s="9">
        <f t="shared" si="7"/>
        <v>1</v>
      </c>
      <c r="AM55" s="6">
        <f t="shared" si="8"/>
        <v>3</v>
      </c>
      <c r="AN55" s="6">
        <f t="shared" si="9"/>
        <v>3</v>
      </c>
      <c r="AP55" s="6" t="str">
        <f t="shared" si="10"/>
        <v>subordinating conjunction (if, although)3</v>
      </c>
    </row>
    <row r="56" spans="1:42" x14ac:dyDescent="0.25">
      <c r="A56" s="4" t="s">
        <v>56</v>
      </c>
      <c r="D56" s="3" t="s">
        <v>45</v>
      </c>
      <c r="E56" s="3" t="str">
        <f>INDEX('Brown tagset'!$B:$B,MATCH(IF(ISERROR(FIND("-",D56)),IF(ISERROR(FIND("+",D56)),D56,LEFT(D56,FIND("+",D56)-1)),LEFT(D56,FIND("-",D56)-1)),'Brown tagset'!$A:$A,0))</f>
        <v>adjective</v>
      </c>
      <c r="F56" s="3"/>
      <c r="G56" s="3" t="str">
        <f>INDEX('Brown-Universal mapping'!$B:$B,MATCH(D56,'Brown-Universal mapping'!$A:$A,0))</f>
        <v>ADJ</v>
      </c>
      <c r="I56" s="5" t="s">
        <v>45</v>
      </c>
      <c r="J56" s="5" t="str">
        <f>INDEX('Brown tagset'!$B:$B,MATCH(IF(ISERROR(FIND("-",I56)),IF(ISERROR(FIND("+",I56)),I56,LEFT(I56,FIND("+",I56)-1)),LEFT(I56,FIND("-",I56)-1)),'Brown tagset'!$A:$A,0))</f>
        <v>adjective</v>
      </c>
      <c r="K56" s="5" t="s">
        <v>46</v>
      </c>
      <c r="L56" s="5" t="str">
        <f>INDEX('Brown-Universal mapping'!$B:$B,MATCH(I56,'Brown-Universal mapping'!$A:$A,0))</f>
        <v>ADJ</v>
      </c>
      <c r="M56" s="5">
        <f t="shared" si="0"/>
        <v>1</v>
      </c>
      <c r="N56" s="5">
        <f t="shared" si="1"/>
        <v>1</v>
      </c>
      <c r="P56" s="12" t="s">
        <v>56</v>
      </c>
      <c r="Q56" s="7" t="s">
        <v>299</v>
      </c>
      <c r="R56" s="7" t="str">
        <f>INDEX('Brown tagset'!$B:$B,MATCH(IF(ISERROR(FIND("-",Q56)),IF(ISERROR(FIND("+",Q56)),Q56,LEFT(Q56,FIND("+",Q56)-1)),LEFT(Q56,FIND("-",Q56)-1)),'Brown tagset'!$A:$A,0))</f>
        <v>adjective</v>
      </c>
      <c r="S56" s="7"/>
      <c r="T56" s="7" t="str">
        <f>INDEX('Brown-Universal mapping'!$B:$B,MATCH(Q56,'Brown-Universal mapping'!$A:$A,0))</f>
        <v>ADJ</v>
      </c>
      <c r="U56" s="7">
        <f t="shared" si="2"/>
        <v>1</v>
      </c>
      <c r="V56" s="7">
        <f t="shared" si="3"/>
        <v>1</v>
      </c>
      <c r="X56" s="12" t="s">
        <v>56</v>
      </c>
      <c r="Y56" s="7" t="s">
        <v>299</v>
      </c>
      <c r="Z56" s="7" t="str">
        <f>INDEX('Brown tagset'!$B:$B,MATCH(IF(ISERROR(FIND("-",Y56)),IF(ISERROR(FIND("+",Y56)),Y56,LEFT(Y56,FIND("+",Y56)-1)),LEFT(Y56,FIND("-",Y56)-1)),'Brown tagset'!$A:$A,0))</f>
        <v>adjective</v>
      </c>
      <c r="AA56" s="7"/>
      <c r="AB56" s="7" t="str">
        <f>INDEX('Brown-Universal mapping'!$B:$B,MATCH(Y56,'Brown-Universal mapping'!$A:$A,0))</f>
        <v>ADJ</v>
      </c>
      <c r="AC56" s="7">
        <f t="shared" si="4"/>
        <v>1</v>
      </c>
      <c r="AD56" s="7">
        <f t="shared" si="5"/>
        <v>1</v>
      </c>
      <c r="AF56" s="9" t="s">
        <v>45</v>
      </c>
      <c r="AG56" s="9" t="str">
        <f>INDEX('Brown tagset'!$B:$B,MATCH(IF(ISERROR(FIND("-",AF56)),IF(ISERROR(FIND("+",AF56)),AF56,LEFT(AF56,FIND("+",AF56)-1)),LEFT(AF56,FIND("-",AF56)-1)),'Brown tagset'!$A:$A,0))</f>
        <v>adjective</v>
      </c>
      <c r="AH56" s="9" t="s">
        <v>46</v>
      </c>
      <c r="AI56" s="9" t="str">
        <f>INDEX('Brown-Universal mapping'!$B:$B,MATCH(AF56,'Brown-Universal mapping'!$A:$A,0))</f>
        <v>ADJ</v>
      </c>
      <c r="AJ56" s="9">
        <f t="shared" si="6"/>
        <v>1</v>
      </c>
      <c r="AK56" s="9">
        <f t="shared" si="7"/>
        <v>1</v>
      </c>
      <c r="AM56" s="6">
        <f t="shared" si="8"/>
        <v>3</v>
      </c>
      <c r="AN56" s="6">
        <f t="shared" si="9"/>
        <v>3</v>
      </c>
      <c r="AP56" s="6" t="str">
        <f t="shared" si="10"/>
        <v>adjective3</v>
      </c>
    </row>
    <row r="57" spans="1:42" x14ac:dyDescent="0.25">
      <c r="A57" s="4" t="s">
        <v>57</v>
      </c>
      <c r="D57" s="3" t="s">
        <v>31</v>
      </c>
      <c r="E57" s="3" t="str">
        <f>INDEX('Brown tagset'!$B:$B,MATCH(IF(ISERROR(FIND("-",D57)),IF(ISERROR(FIND("+",D57)),D57,LEFT(D57,FIND("+",D57)-1)),LEFT(D57,FIND("-",D57)-1)),'Brown tagset'!$A:$A,0))</f>
        <v>plural noun</v>
      </c>
      <c r="F57" s="3"/>
      <c r="G57" s="3" t="str">
        <f>INDEX('Brown-Universal mapping'!$B:$B,MATCH(D57,'Brown-Universal mapping'!$A:$A,0))</f>
        <v>NOUN</v>
      </c>
      <c r="I57" s="5" t="s">
        <v>31</v>
      </c>
      <c r="J57" s="5" t="str">
        <f>INDEX('Brown tagset'!$B:$B,MATCH(IF(ISERROR(FIND("-",I57)),IF(ISERROR(FIND("+",I57)),I57,LEFT(I57,FIND("+",I57)-1)),LEFT(I57,FIND("-",I57)-1)),'Brown tagset'!$A:$A,0))</f>
        <v>plural noun</v>
      </c>
      <c r="K57" s="5" t="s">
        <v>13</v>
      </c>
      <c r="L57" s="5" t="str">
        <f>INDEX('Brown-Universal mapping'!$B:$B,MATCH(I57,'Brown-Universal mapping'!$A:$A,0))</f>
        <v>NOUN</v>
      </c>
      <c r="M57" s="5">
        <f t="shared" si="0"/>
        <v>1</v>
      </c>
      <c r="N57" s="5">
        <f t="shared" si="1"/>
        <v>1</v>
      </c>
      <c r="P57" s="12" t="s">
        <v>57</v>
      </c>
      <c r="Q57" s="7" t="s">
        <v>295</v>
      </c>
      <c r="R57" s="7" t="str">
        <f>INDEX('Brown tagset'!$B:$B,MATCH(IF(ISERROR(FIND("-",Q57)),IF(ISERROR(FIND("+",Q57)),Q57,LEFT(Q57,FIND("+",Q57)-1)),LEFT(Q57,FIND("-",Q57)-1)),'Brown tagset'!$A:$A,0))</f>
        <v>plural noun</v>
      </c>
      <c r="S57" s="7"/>
      <c r="T57" s="7" t="str">
        <f>INDEX('Brown-Universal mapping'!$B:$B,MATCH(Q57,'Brown-Universal mapping'!$A:$A,0))</f>
        <v>NOUN</v>
      </c>
      <c r="U57" s="7">
        <f t="shared" si="2"/>
        <v>1</v>
      </c>
      <c r="V57" s="7">
        <f t="shared" si="3"/>
        <v>1</v>
      </c>
      <c r="X57" s="12" t="s">
        <v>57</v>
      </c>
      <c r="Y57" s="7" t="s">
        <v>295</v>
      </c>
      <c r="Z57" s="7" t="str">
        <f>INDEX('Brown tagset'!$B:$B,MATCH(IF(ISERROR(FIND("-",Y57)),IF(ISERROR(FIND("+",Y57)),Y57,LEFT(Y57,FIND("+",Y57)-1)),LEFT(Y57,FIND("-",Y57)-1)),'Brown tagset'!$A:$A,0))</f>
        <v>plural noun</v>
      </c>
      <c r="AA57" s="7"/>
      <c r="AB57" s="7" t="str">
        <f>INDEX('Brown-Universal mapping'!$B:$B,MATCH(Y57,'Brown-Universal mapping'!$A:$A,0))</f>
        <v>NOUN</v>
      </c>
      <c r="AC57" s="7">
        <f t="shared" si="4"/>
        <v>1</v>
      </c>
      <c r="AD57" s="7">
        <f t="shared" si="5"/>
        <v>1</v>
      </c>
      <c r="AF57" s="9" t="s">
        <v>31</v>
      </c>
      <c r="AG57" s="9" t="str">
        <f>INDEX('Brown tagset'!$B:$B,MATCH(IF(ISERROR(FIND("-",AF57)),IF(ISERROR(FIND("+",AF57)),AF57,LEFT(AF57,FIND("+",AF57)-1)),LEFT(AF57,FIND("-",AF57)-1)),'Brown tagset'!$A:$A,0))</f>
        <v>plural noun</v>
      </c>
      <c r="AH57" s="9" t="s">
        <v>13</v>
      </c>
      <c r="AI57" s="9" t="str">
        <f>INDEX('Brown-Universal mapping'!$B:$B,MATCH(AF57,'Brown-Universal mapping'!$A:$A,0))</f>
        <v>NOUN</v>
      </c>
      <c r="AJ57" s="9">
        <f t="shared" si="6"/>
        <v>1</v>
      </c>
      <c r="AK57" s="9">
        <f t="shared" si="7"/>
        <v>1</v>
      </c>
      <c r="AM57" s="6">
        <f t="shared" si="8"/>
        <v>3</v>
      </c>
      <c r="AN57" s="6">
        <f t="shared" si="9"/>
        <v>3</v>
      </c>
      <c r="AP57" s="6" t="str">
        <f t="shared" si="10"/>
        <v>plural noun3</v>
      </c>
    </row>
    <row r="58" spans="1:42" x14ac:dyDescent="0.25">
      <c r="A58" s="4" t="s">
        <v>58</v>
      </c>
      <c r="D58" s="3" t="s">
        <v>59</v>
      </c>
      <c r="E58" s="3" t="str">
        <f>INDEX('Brown tagset'!$B:$B,MATCH(IF(ISERROR(FIND("-",D58)),IF(ISERROR(FIND("+",D58)),D58,LEFT(D58,FIND("+",D58)-1)),LEFT(D58,FIND("-",D58)-1)),'Brown tagset'!$A:$A,0))</f>
        <v>preposition</v>
      </c>
      <c r="F58" s="3"/>
      <c r="G58" s="3" t="str">
        <f>INDEX('Brown-Universal mapping'!$B:$B,MATCH(D58,'Brown-Universal mapping'!$A:$A,0))</f>
        <v>ADP</v>
      </c>
      <c r="I58" s="5" t="s">
        <v>59</v>
      </c>
      <c r="J58" s="5" t="str">
        <f>INDEX('Brown tagset'!$B:$B,MATCH(IF(ISERROR(FIND("-",I58)),IF(ISERROR(FIND("+",I58)),I58,LEFT(I58,FIND("+",I58)-1)),LEFT(I58,FIND("-",I58)-1)),'Brown tagset'!$A:$A,0))</f>
        <v>preposition</v>
      </c>
      <c r="K58" s="5" t="s">
        <v>60</v>
      </c>
      <c r="L58" s="5" t="str">
        <f>INDEX('Brown-Universal mapping'!$B:$B,MATCH(I58,'Brown-Universal mapping'!$A:$A,0))</f>
        <v>ADP</v>
      </c>
      <c r="M58" s="5">
        <f t="shared" si="0"/>
        <v>1</v>
      </c>
      <c r="N58" s="5">
        <f t="shared" si="1"/>
        <v>1</v>
      </c>
      <c r="P58" s="12" t="s">
        <v>58</v>
      </c>
      <c r="Q58" s="7" t="s">
        <v>124</v>
      </c>
      <c r="R58" s="7" t="str">
        <f>INDEX('Brown tagset'!$B:$B,MATCH(IF(ISERROR(FIND("-",Q58)),IF(ISERROR(FIND("+",Q58)),Q58,LEFT(Q58,FIND("+",Q58)-1)),LEFT(Q58,FIND("-",Q58)-1)),'Brown tagset'!$A:$A,0))</f>
        <v>preposition</v>
      </c>
      <c r="S58" s="7"/>
      <c r="T58" s="7" t="str">
        <f>INDEX('Brown-Universal mapping'!$B:$B,MATCH(Q58,'Brown-Universal mapping'!$A:$A,0))</f>
        <v>ADP</v>
      </c>
      <c r="U58" s="7">
        <f t="shared" si="2"/>
        <v>1</v>
      </c>
      <c r="V58" s="7">
        <f t="shared" si="3"/>
        <v>1</v>
      </c>
      <c r="X58" s="12" t="s">
        <v>58</v>
      </c>
      <c r="Y58" s="7" t="s">
        <v>124</v>
      </c>
      <c r="Z58" s="7" t="str">
        <f>INDEX('Brown tagset'!$B:$B,MATCH(IF(ISERROR(FIND("-",Y58)),IF(ISERROR(FIND("+",Y58)),Y58,LEFT(Y58,FIND("+",Y58)-1)),LEFT(Y58,FIND("-",Y58)-1)),'Brown tagset'!$A:$A,0))</f>
        <v>preposition</v>
      </c>
      <c r="AA58" s="7"/>
      <c r="AB58" s="7" t="str">
        <f>INDEX('Brown-Universal mapping'!$B:$B,MATCH(Y58,'Brown-Universal mapping'!$A:$A,0))</f>
        <v>ADP</v>
      </c>
      <c r="AC58" s="7">
        <f t="shared" si="4"/>
        <v>1</v>
      </c>
      <c r="AD58" s="7">
        <f t="shared" si="5"/>
        <v>1</v>
      </c>
      <c r="AF58" s="9" t="s">
        <v>59</v>
      </c>
      <c r="AG58" s="9" t="str">
        <f>INDEX('Brown tagset'!$B:$B,MATCH(IF(ISERROR(FIND("-",AF58)),IF(ISERROR(FIND("+",AF58)),AF58,LEFT(AF58,FIND("+",AF58)-1)),LEFT(AF58,FIND("-",AF58)-1)),'Brown tagset'!$A:$A,0))</f>
        <v>preposition</v>
      </c>
      <c r="AH58" s="9" t="s">
        <v>60</v>
      </c>
      <c r="AI58" s="9" t="str">
        <f>INDEX('Brown-Universal mapping'!$B:$B,MATCH(AF58,'Brown-Universal mapping'!$A:$A,0))</f>
        <v>ADP</v>
      </c>
      <c r="AJ58" s="9">
        <f t="shared" si="6"/>
        <v>1</v>
      </c>
      <c r="AK58" s="9">
        <f t="shared" si="7"/>
        <v>1</v>
      </c>
      <c r="AM58" s="6">
        <f t="shared" si="8"/>
        <v>3</v>
      </c>
      <c r="AN58" s="6">
        <f t="shared" si="9"/>
        <v>3</v>
      </c>
      <c r="AP58" s="6" t="str">
        <f t="shared" si="10"/>
        <v>preposition3</v>
      </c>
    </row>
    <row r="59" spans="1:42" x14ac:dyDescent="0.25">
      <c r="A59" s="4" t="s">
        <v>21</v>
      </c>
      <c r="D59" s="3" t="s">
        <v>22</v>
      </c>
      <c r="E59" s="3" t="str">
        <f>INDEX('Brown tagset'!$B:$B,MATCH(IF(ISERROR(FIND("-",D59)),IF(ISERROR(FIND("+",D59)),D59,LEFT(D59,FIND("+",D59)-1)),LEFT(D59,FIND("-",D59)-1)),'Brown tagset'!$A:$A,0))</f>
        <v>possessive personal pronoun (my, our)</v>
      </c>
      <c r="F59" s="3"/>
      <c r="G59" s="3" t="str">
        <f>INDEX('Brown-Universal mapping'!$B:$B,MATCH(D59,'Brown-Universal mapping'!$A:$A,0))</f>
        <v>DET</v>
      </c>
      <c r="I59" s="5" t="s">
        <v>22</v>
      </c>
      <c r="J59" s="5" t="str">
        <f>INDEX('Brown tagset'!$B:$B,MATCH(IF(ISERROR(FIND("-",I59)),IF(ISERROR(FIND("+",I59)),I59,LEFT(I59,FIND("+",I59)-1)),LEFT(I59,FIND("-",I59)-1)),'Brown tagset'!$A:$A,0))</f>
        <v>possessive personal pronoun (my, our)</v>
      </c>
      <c r="K59" s="5" t="s">
        <v>2</v>
      </c>
      <c r="L59" s="5" t="str">
        <f>INDEX('Brown-Universal mapping'!$B:$B,MATCH(I59,'Brown-Universal mapping'!$A:$A,0))</f>
        <v>DET</v>
      </c>
      <c r="M59" s="5">
        <f t="shared" si="0"/>
        <v>1</v>
      </c>
      <c r="N59" s="5">
        <f t="shared" si="1"/>
        <v>1</v>
      </c>
      <c r="P59" s="12" t="s">
        <v>21</v>
      </c>
      <c r="Q59" s="7" t="s">
        <v>291</v>
      </c>
      <c r="R59" s="7" t="str">
        <f>INDEX('Brown tagset'!$B:$B,MATCH(IF(ISERROR(FIND("-",Q59)),IF(ISERROR(FIND("+",Q59)),Q59,LEFT(Q59,FIND("+",Q59)-1)),LEFT(Q59,FIND("-",Q59)-1)),'Brown tagset'!$A:$A,0))</f>
        <v>possessive personal pronoun (my, our)</v>
      </c>
      <c r="S59" s="7"/>
      <c r="T59" s="7" t="str">
        <f>INDEX('Brown-Universal mapping'!$B:$B,MATCH(Q59,'Brown-Universal mapping'!$A:$A,0))</f>
        <v>DET</v>
      </c>
      <c r="U59" s="7">
        <f t="shared" si="2"/>
        <v>1</v>
      </c>
      <c r="V59" s="7">
        <f t="shared" si="3"/>
        <v>1</v>
      </c>
      <c r="X59" s="12" t="s">
        <v>21</v>
      </c>
      <c r="Y59" s="7" t="s">
        <v>291</v>
      </c>
      <c r="Z59" s="7" t="str">
        <f>INDEX('Brown tagset'!$B:$B,MATCH(IF(ISERROR(FIND("-",Y59)),IF(ISERROR(FIND("+",Y59)),Y59,LEFT(Y59,FIND("+",Y59)-1)),LEFT(Y59,FIND("-",Y59)-1)),'Brown tagset'!$A:$A,0))</f>
        <v>possessive personal pronoun (my, our)</v>
      </c>
      <c r="AA59" s="7"/>
      <c r="AB59" s="7" t="str">
        <f>INDEX('Brown-Universal mapping'!$B:$B,MATCH(Y59,'Brown-Universal mapping'!$A:$A,0))</f>
        <v>DET</v>
      </c>
      <c r="AC59" s="7">
        <f t="shared" si="4"/>
        <v>1</v>
      </c>
      <c r="AD59" s="7">
        <f t="shared" si="5"/>
        <v>1</v>
      </c>
      <c r="AF59" s="9" t="s">
        <v>22</v>
      </c>
      <c r="AG59" s="9" t="str">
        <f>INDEX('Brown tagset'!$B:$B,MATCH(IF(ISERROR(FIND("-",AF59)),IF(ISERROR(FIND("+",AF59)),AF59,LEFT(AF59,FIND("+",AF59)-1)),LEFT(AF59,FIND("-",AF59)-1)),'Brown tagset'!$A:$A,0))</f>
        <v>possessive personal pronoun (my, our)</v>
      </c>
      <c r="AH59" s="9" t="s">
        <v>2</v>
      </c>
      <c r="AI59" s="9" t="str">
        <f>INDEX('Brown-Universal mapping'!$B:$B,MATCH(AF59,'Brown-Universal mapping'!$A:$A,0))</f>
        <v>DET</v>
      </c>
      <c r="AJ59" s="9">
        <f t="shared" si="6"/>
        <v>1</v>
      </c>
      <c r="AK59" s="9">
        <f t="shared" si="7"/>
        <v>1</v>
      </c>
      <c r="AM59" s="6">
        <f t="shared" si="8"/>
        <v>3</v>
      </c>
      <c r="AN59" s="6">
        <f t="shared" si="9"/>
        <v>3</v>
      </c>
      <c r="AP59" s="6" t="str">
        <f t="shared" si="10"/>
        <v>possessive personal pronoun (my, our)3</v>
      </c>
    </row>
    <row r="60" spans="1:42" x14ac:dyDescent="0.25">
      <c r="A60" s="25" t="s">
        <v>61</v>
      </c>
      <c r="B60" s="25"/>
      <c r="D60" s="3" t="s">
        <v>31</v>
      </c>
      <c r="E60" s="3" t="str">
        <f>INDEX('Brown tagset'!$B:$B,MATCH(IF(ISERROR(FIND("-",D60)),IF(ISERROR(FIND("+",D60)),D60,LEFT(D60,FIND("+",D60)-1)),LEFT(D60,FIND("-",D60)-1)),'Brown tagset'!$A:$A,0))</f>
        <v>plural noun</v>
      </c>
      <c r="F60" s="3"/>
      <c r="G60" s="3" t="str">
        <f>INDEX('Brown-Universal mapping'!$B:$B,MATCH(D60,'Brown-Universal mapping'!$A:$A,0))</f>
        <v>NOUN</v>
      </c>
      <c r="I60" s="5" t="s">
        <v>31</v>
      </c>
      <c r="J60" s="5" t="str">
        <f>INDEX('Brown tagset'!$B:$B,MATCH(IF(ISERROR(FIND("-",I60)),IF(ISERROR(FIND("+",I60)),I60,LEFT(I60,FIND("+",I60)-1)),LEFT(I60,FIND("-",I60)-1)),'Brown tagset'!$A:$A,0))</f>
        <v>plural noun</v>
      </c>
      <c r="K60" s="5" t="s">
        <v>13</v>
      </c>
      <c r="L60" s="5" t="str">
        <f>INDEX('Brown-Universal mapping'!$B:$B,MATCH(I60,'Brown-Universal mapping'!$A:$A,0))</f>
        <v>NOUN</v>
      </c>
      <c r="M60" s="5">
        <f t="shared" si="0"/>
        <v>1</v>
      </c>
      <c r="N60" s="5">
        <f t="shared" si="1"/>
        <v>1</v>
      </c>
      <c r="P60" s="12" t="s">
        <v>61</v>
      </c>
      <c r="Q60" s="7" t="s">
        <v>295</v>
      </c>
      <c r="R60" s="7" t="str">
        <f>INDEX('Brown tagset'!$B:$B,MATCH(IF(ISERROR(FIND("-",Q60)),IF(ISERROR(FIND("+",Q60)),Q60,LEFT(Q60,FIND("+",Q60)-1)),LEFT(Q60,FIND("-",Q60)-1)),'Brown tagset'!$A:$A,0))</f>
        <v>plural noun</v>
      </c>
      <c r="S60" s="7"/>
      <c r="T60" s="7" t="str">
        <f>INDEX('Brown-Universal mapping'!$B:$B,MATCH(Q60,'Brown-Universal mapping'!$A:$A,0))</f>
        <v>NOUN</v>
      </c>
      <c r="U60" s="7">
        <f t="shared" si="2"/>
        <v>1</v>
      </c>
      <c r="V60" s="7">
        <f t="shared" si="3"/>
        <v>1</v>
      </c>
      <c r="X60" s="12" t="s">
        <v>61</v>
      </c>
      <c r="Y60" s="7" t="s">
        <v>295</v>
      </c>
      <c r="Z60" s="7" t="str">
        <f>INDEX('Brown tagset'!$B:$B,MATCH(IF(ISERROR(FIND("-",Y60)),IF(ISERROR(FIND("+",Y60)),Y60,LEFT(Y60,FIND("+",Y60)-1)),LEFT(Y60,FIND("-",Y60)-1)),'Brown tagset'!$A:$A,0))</f>
        <v>plural noun</v>
      </c>
      <c r="AA60" s="7"/>
      <c r="AB60" s="7" t="str">
        <f>INDEX('Brown-Universal mapping'!$B:$B,MATCH(Y60,'Brown-Universal mapping'!$A:$A,0))</f>
        <v>NOUN</v>
      </c>
      <c r="AC60" s="7">
        <f t="shared" si="4"/>
        <v>1</v>
      </c>
      <c r="AD60" s="7">
        <f t="shared" si="5"/>
        <v>1</v>
      </c>
      <c r="AF60" s="9" t="s">
        <v>340</v>
      </c>
      <c r="AG60" s="9" t="str">
        <f>INDEX('Brown tagset'!$B:$B,MATCH(IF(ISERROR(FIND("-",AF60)),IF(ISERROR(FIND("+",AF60)),AF60,LEFT(AF60,FIND("+",AF60)-1)),LEFT(AF60,FIND("-",AF60)-1)),'Brown tagset'!$A:$A,0))</f>
        <v>unknown</v>
      </c>
      <c r="AH60" s="9" t="s">
        <v>2</v>
      </c>
      <c r="AI60" s="9" t="str">
        <f>INDEX('Brown-Universal mapping'!$B:$B,MATCH(AF60,'Brown-Universal mapping'!$A:$A,0))</f>
        <v>Unknown</v>
      </c>
      <c r="AJ60" s="9">
        <f t="shared" si="6"/>
        <v>0</v>
      </c>
      <c r="AK60" s="9">
        <f t="shared" si="7"/>
        <v>0</v>
      </c>
      <c r="AM60" s="6">
        <f t="shared" si="8"/>
        <v>2</v>
      </c>
      <c r="AN60" s="6">
        <f t="shared" si="9"/>
        <v>2</v>
      </c>
      <c r="AP60" s="6" t="str">
        <f t="shared" si="10"/>
        <v>unknown2</v>
      </c>
    </row>
    <row r="61" spans="1:42" x14ac:dyDescent="0.25">
      <c r="A61" s="4" t="s">
        <v>62</v>
      </c>
      <c r="D61" s="3" t="s">
        <v>62</v>
      </c>
      <c r="E61" s="3" t="str">
        <f>INDEX('Brown tagset'!$B:$B,MATCH(IF(ISERROR(FIND("-",D61)),IF(ISERROR(FIND("+",D61)),D61,LEFT(D61,FIND("+",D61)-1)),LEFT(D61,FIND("-",D61)-1)),'Brown tagset'!$A:$A,0))</f>
        <v>comma</v>
      </c>
      <c r="F61" s="3"/>
      <c r="G61" s="3" t="str">
        <f>INDEX('Brown-Universal mapping'!$B:$B,MATCH(D61,'Brown-Universal mapping'!$A:$A,0))</f>
        <v>.</v>
      </c>
      <c r="I61" s="5" t="s">
        <v>62</v>
      </c>
      <c r="J61" s="5" t="str">
        <f>INDEX('Brown tagset'!$B:$B,MATCH(IF(ISERROR(FIND("-",I61)),IF(ISERROR(FIND("+",I61)),I61,LEFT(I61,FIND("+",I61)-1)),LEFT(I61,FIND("-",I61)-1)),'Brown tagset'!$A:$A,0))</f>
        <v>comma</v>
      </c>
      <c r="K61" s="5" t="s">
        <v>38</v>
      </c>
      <c r="L61" s="5" t="str">
        <f>INDEX('Brown-Universal mapping'!$B:$B,MATCH(I61,'Brown-Universal mapping'!$A:$A,0))</f>
        <v>.</v>
      </c>
      <c r="M61" s="5">
        <f t="shared" si="0"/>
        <v>1</v>
      </c>
      <c r="N61" s="5">
        <f t="shared" si="1"/>
        <v>1</v>
      </c>
      <c r="P61" s="12" t="s">
        <v>62</v>
      </c>
      <c r="Q61" s="7" t="s">
        <v>62</v>
      </c>
      <c r="R61" s="7" t="str">
        <f>INDEX('Brown tagset'!$B:$B,MATCH(IF(ISERROR(FIND("-",Q61)),IF(ISERROR(FIND("+",Q61)),Q61,LEFT(Q61,FIND("+",Q61)-1)),LEFT(Q61,FIND("-",Q61)-1)),'Brown tagset'!$A:$A,0))</f>
        <v>comma</v>
      </c>
      <c r="S61" s="7"/>
      <c r="T61" s="7" t="str">
        <f>INDEX('Brown-Universal mapping'!$B:$B,MATCH(Q61,'Brown-Universal mapping'!$A:$A,0))</f>
        <v>.</v>
      </c>
      <c r="U61" s="7">
        <f t="shared" si="2"/>
        <v>1</v>
      </c>
      <c r="V61" s="7">
        <f t="shared" si="3"/>
        <v>1</v>
      </c>
      <c r="X61" s="12" t="s">
        <v>62</v>
      </c>
      <c r="Y61" s="7" t="s">
        <v>62</v>
      </c>
      <c r="Z61" s="7" t="str">
        <f>INDEX('Brown tagset'!$B:$B,MATCH(IF(ISERROR(FIND("-",Y61)),IF(ISERROR(FIND("+",Y61)),Y61,LEFT(Y61,FIND("+",Y61)-1)),LEFT(Y61,FIND("-",Y61)-1)),'Brown tagset'!$A:$A,0))</f>
        <v>comma</v>
      </c>
      <c r="AA61" s="7"/>
      <c r="AB61" s="7" t="str">
        <f>INDEX('Brown-Universal mapping'!$B:$B,MATCH(Y61,'Brown-Universal mapping'!$A:$A,0))</f>
        <v>.</v>
      </c>
      <c r="AC61" s="7">
        <f t="shared" si="4"/>
        <v>1</v>
      </c>
      <c r="AD61" s="7">
        <f t="shared" si="5"/>
        <v>1</v>
      </c>
      <c r="AF61" s="9" t="s">
        <v>62</v>
      </c>
      <c r="AG61" s="9" t="str">
        <f>INDEX('Brown tagset'!$B:$B,MATCH(IF(ISERROR(FIND("-",AF61)),IF(ISERROR(FIND("+",AF61)),AF61,LEFT(AF61,FIND("+",AF61)-1)),LEFT(AF61,FIND("-",AF61)-1)),'Brown tagset'!$A:$A,0))</f>
        <v>comma</v>
      </c>
      <c r="AH61" s="9" t="s">
        <v>38</v>
      </c>
      <c r="AI61" s="9" t="str">
        <f>INDEX('Brown-Universal mapping'!$B:$B,MATCH(AF61,'Brown-Universal mapping'!$A:$A,0))</f>
        <v>.</v>
      </c>
      <c r="AJ61" s="9">
        <f t="shared" si="6"/>
        <v>1</v>
      </c>
      <c r="AK61" s="9">
        <f t="shared" si="7"/>
        <v>1</v>
      </c>
      <c r="AM61" s="6">
        <f t="shared" si="8"/>
        <v>3</v>
      </c>
      <c r="AN61" s="6">
        <f t="shared" si="9"/>
        <v>3</v>
      </c>
      <c r="AP61" s="6" t="str">
        <f t="shared" si="10"/>
        <v>comma3</v>
      </c>
    </row>
    <row r="62" spans="1:42" x14ac:dyDescent="0.25">
      <c r="A62" s="4" t="s">
        <v>63</v>
      </c>
      <c r="D62" s="3" t="s">
        <v>29</v>
      </c>
      <c r="E62" s="3" t="str">
        <f>INDEX('Brown tagset'!$B:$B,MATCH(IF(ISERROR(FIND("-",D62)),IF(ISERROR(FIND("+",D62)),D62,LEFT(D62,FIND("+",D62)-1)),LEFT(D62,FIND("-",D62)-1)),'Brown tagset'!$A:$A,0))</f>
        <v>subordinating conjunction (if, although)</v>
      </c>
      <c r="F62" s="3"/>
      <c r="G62" s="3" t="str">
        <f>INDEX('Brown-Universal mapping'!$B:$B,MATCH(D62,'Brown-Universal mapping'!$A:$A,0))</f>
        <v>ADP</v>
      </c>
      <c r="I62" s="5" t="s">
        <v>29</v>
      </c>
      <c r="J62" s="5" t="str">
        <f>INDEX('Brown tagset'!$B:$B,MATCH(IF(ISERROR(FIND("-",I62)),IF(ISERROR(FIND("+",I62)),I62,LEFT(I62,FIND("+",I62)-1)),LEFT(I62,FIND("-",I62)-1)),'Brown tagset'!$A:$A,0))</f>
        <v>subordinating conjunction (if, although)</v>
      </c>
      <c r="K62" s="5" t="s">
        <v>2</v>
      </c>
      <c r="L62" s="5" t="str">
        <f>INDEX('Brown-Universal mapping'!$B:$B,MATCH(I62,'Brown-Universal mapping'!$A:$A,0))</f>
        <v>ADP</v>
      </c>
      <c r="M62" s="5">
        <f t="shared" si="0"/>
        <v>1</v>
      </c>
      <c r="N62" s="5">
        <f t="shared" si="1"/>
        <v>1</v>
      </c>
      <c r="P62" s="12" t="s">
        <v>63</v>
      </c>
      <c r="Q62" s="7" t="s">
        <v>294</v>
      </c>
      <c r="R62" s="7" t="str">
        <f>INDEX('Brown tagset'!$B:$B,MATCH(IF(ISERROR(FIND("-",Q62)),IF(ISERROR(FIND("+",Q62)),Q62,LEFT(Q62,FIND("+",Q62)-1)),LEFT(Q62,FIND("-",Q62)-1)),'Brown tagset'!$A:$A,0))</f>
        <v>subordinating conjunction (if, although)</v>
      </c>
      <c r="S62" s="7"/>
      <c r="T62" s="7" t="str">
        <f>INDEX('Brown-Universal mapping'!$B:$B,MATCH(Q62,'Brown-Universal mapping'!$A:$A,0))</f>
        <v>ADP</v>
      </c>
      <c r="U62" s="7">
        <f t="shared" si="2"/>
        <v>1</v>
      </c>
      <c r="V62" s="7">
        <f t="shared" si="3"/>
        <v>1</v>
      </c>
      <c r="X62" s="12" t="s">
        <v>63</v>
      </c>
      <c r="Y62" s="7" t="s">
        <v>294</v>
      </c>
      <c r="Z62" s="7" t="str">
        <f>INDEX('Brown tagset'!$B:$B,MATCH(IF(ISERROR(FIND("-",Y62)),IF(ISERROR(FIND("+",Y62)),Y62,LEFT(Y62,FIND("+",Y62)-1)),LEFT(Y62,FIND("-",Y62)-1)),'Brown tagset'!$A:$A,0))</f>
        <v>subordinating conjunction (if, although)</v>
      </c>
      <c r="AA62" s="7"/>
      <c r="AB62" s="7" t="str">
        <f>INDEX('Brown-Universal mapping'!$B:$B,MATCH(Y62,'Brown-Universal mapping'!$A:$A,0))</f>
        <v>ADP</v>
      </c>
      <c r="AC62" s="7">
        <f t="shared" si="4"/>
        <v>1</v>
      </c>
      <c r="AD62" s="7">
        <f t="shared" si="5"/>
        <v>1</v>
      </c>
      <c r="AF62" s="9" t="s">
        <v>29</v>
      </c>
      <c r="AG62" s="9" t="str">
        <f>INDEX('Brown tagset'!$B:$B,MATCH(IF(ISERROR(FIND("-",AF62)),IF(ISERROR(FIND("+",AF62)),AF62,LEFT(AF62,FIND("+",AF62)-1)),LEFT(AF62,FIND("-",AF62)-1)),'Brown tagset'!$A:$A,0))</f>
        <v>subordinating conjunction (if, although)</v>
      </c>
      <c r="AH62" s="9" t="s">
        <v>2</v>
      </c>
      <c r="AI62" s="9" t="str">
        <f>INDEX('Brown-Universal mapping'!$B:$B,MATCH(AF62,'Brown-Universal mapping'!$A:$A,0))</f>
        <v>ADP</v>
      </c>
      <c r="AJ62" s="9">
        <f t="shared" si="6"/>
        <v>1</v>
      </c>
      <c r="AK62" s="9">
        <f t="shared" si="7"/>
        <v>1</v>
      </c>
      <c r="AM62" s="6">
        <f t="shared" si="8"/>
        <v>3</v>
      </c>
      <c r="AN62" s="6">
        <f t="shared" si="9"/>
        <v>3</v>
      </c>
      <c r="AP62" s="6" t="str">
        <f t="shared" si="10"/>
        <v>subordinating conjunction (if, although)3</v>
      </c>
    </row>
    <row r="63" spans="1:42" x14ac:dyDescent="0.25">
      <c r="A63" s="4" t="s">
        <v>37</v>
      </c>
      <c r="D63" s="3" t="s">
        <v>37</v>
      </c>
      <c r="E63" s="3" t="str">
        <f>INDEX('Brown tagset'!$B:$B,MATCH(IF(ISERROR(FIND("-",D63)),IF(ISERROR(FIND("+",D63)),D63,LEFT(D63,FIND("+",D63)-1)),LEFT(D63,FIND("-",D63)-1)),'Brown tagset'!$A:$A,0))</f>
        <v>end quotation</v>
      </c>
      <c r="F63" s="3"/>
      <c r="G63" s="3" t="str">
        <f>INDEX('Brown-Universal mapping'!$B:$B,MATCH(D63,'Brown-Universal mapping'!$A:$A,0))</f>
        <v>.</v>
      </c>
      <c r="I63" s="5" t="s">
        <v>37</v>
      </c>
      <c r="J63" s="5" t="str">
        <f>INDEX('Brown tagset'!$B:$B,MATCH(IF(ISERROR(FIND("-",I63)),IF(ISERROR(FIND("+",I63)),I63,LEFT(I63,FIND("+",I63)-1)),LEFT(I63,FIND("-",I63)-1)),'Brown tagset'!$A:$A,0))</f>
        <v>end quotation</v>
      </c>
      <c r="K63" s="5" t="s">
        <v>38</v>
      </c>
      <c r="L63" s="5" t="str">
        <f>INDEX('Brown-Universal mapping'!$B:$B,MATCH(I63,'Brown-Universal mapping'!$A:$A,0))</f>
        <v>.</v>
      </c>
      <c r="M63" s="5">
        <f t="shared" si="0"/>
        <v>1</v>
      </c>
      <c r="N63" s="5">
        <f t="shared" si="1"/>
        <v>1</v>
      </c>
      <c r="P63" s="12" t="s">
        <v>37</v>
      </c>
      <c r="Q63" s="7" t="s">
        <v>37</v>
      </c>
      <c r="R63" s="7" t="str">
        <f>INDEX('Brown tagset'!$B:$B,MATCH(IF(ISERROR(FIND("-",Q63)),IF(ISERROR(FIND("+",Q63)),Q63,LEFT(Q63,FIND("+",Q63)-1)),LEFT(Q63,FIND("-",Q63)-1)),'Brown tagset'!$A:$A,0))</f>
        <v>end quotation</v>
      </c>
      <c r="S63" s="7"/>
      <c r="T63" s="7" t="str">
        <f>INDEX('Brown-Universal mapping'!$B:$B,MATCH(Q63,'Brown-Universal mapping'!$A:$A,0))</f>
        <v>.</v>
      </c>
      <c r="U63" s="7">
        <f t="shared" si="2"/>
        <v>1</v>
      </c>
      <c r="V63" s="7">
        <f t="shared" si="3"/>
        <v>1</v>
      </c>
      <c r="X63" s="12" t="s">
        <v>37</v>
      </c>
      <c r="Y63" s="7" t="s">
        <v>37</v>
      </c>
      <c r="Z63" s="7" t="str">
        <f>INDEX('Brown tagset'!$B:$B,MATCH(IF(ISERROR(FIND("-",Y63)),IF(ISERROR(FIND("+",Y63)),Y63,LEFT(Y63,FIND("+",Y63)-1)),LEFT(Y63,FIND("-",Y63)-1)),'Brown tagset'!$A:$A,0))</f>
        <v>end quotation</v>
      </c>
      <c r="AA63" s="7"/>
      <c r="AB63" s="7" t="str">
        <f>INDEX('Brown-Universal mapping'!$B:$B,MATCH(Y63,'Brown-Universal mapping'!$A:$A,0))</f>
        <v>.</v>
      </c>
      <c r="AC63" s="7">
        <f t="shared" si="4"/>
        <v>1</v>
      </c>
      <c r="AD63" s="7">
        <f t="shared" si="5"/>
        <v>1</v>
      </c>
      <c r="AF63" s="9" t="s">
        <v>37</v>
      </c>
      <c r="AG63" s="9" t="str">
        <f>INDEX('Brown tagset'!$B:$B,MATCH(IF(ISERROR(FIND("-",AF63)),IF(ISERROR(FIND("+",AF63)),AF63,LEFT(AF63,FIND("+",AF63)-1)),LEFT(AF63,FIND("-",AF63)-1)),'Brown tagset'!$A:$A,0))</f>
        <v>end quotation</v>
      </c>
      <c r="AH63" s="9" t="s">
        <v>38</v>
      </c>
      <c r="AI63" s="9" t="str">
        <f>INDEX('Brown-Universal mapping'!$B:$B,MATCH(AF63,'Brown-Universal mapping'!$A:$A,0))</f>
        <v>.</v>
      </c>
      <c r="AJ63" s="9">
        <f t="shared" si="6"/>
        <v>1</v>
      </c>
      <c r="AK63" s="9">
        <f t="shared" si="7"/>
        <v>1</v>
      </c>
      <c r="AM63" s="6">
        <f t="shared" si="8"/>
        <v>3</v>
      </c>
      <c r="AN63" s="6">
        <f t="shared" si="9"/>
        <v>3</v>
      </c>
      <c r="AP63" s="6" t="str">
        <f t="shared" si="10"/>
        <v>end quotation3</v>
      </c>
    </row>
    <row r="64" spans="1:42" x14ac:dyDescent="0.25">
      <c r="A64" s="28" t="s">
        <v>64</v>
      </c>
      <c r="B64" s="28"/>
      <c r="D64" s="3" t="s">
        <v>65</v>
      </c>
      <c r="E64" s="3" t="str">
        <f>INDEX('Brown tagset'!$B:$B,MATCH(IF(ISERROR(FIND("-",D64)),IF(ISERROR(FIND("+",D64)),D64,LEFT(D64,FIND("+",D64)-1)),LEFT(D64,FIND("-",D64)-1)),'Brown tagset'!$A:$A,0))</f>
        <v>interjection, exclamation</v>
      </c>
      <c r="F64" s="3"/>
      <c r="G64" s="3" t="str">
        <f>INDEX('Brown-Universal mapping'!$B:$B,MATCH(D64,'Brown-Universal mapping'!$A:$A,0))</f>
        <v>PRT</v>
      </c>
      <c r="I64" s="5" t="s">
        <v>66</v>
      </c>
      <c r="J64" s="5" t="str">
        <f>INDEX('Brown tagset'!$B:$B,MATCH(IF(ISERROR(FIND("-",I64)),IF(ISERROR(FIND("+",I64)),I64,LEFT(I64,FIND("+",I64)-1)),LEFT(I64,FIND("-",I64)-1)),'Brown tagset'!$A:$A,0))</f>
        <v>proper noun or part of name phrase</v>
      </c>
      <c r="K64" s="5" t="s">
        <v>13</v>
      </c>
      <c r="L64" s="5" t="str">
        <f>INDEX('Brown-Universal mapping'!$B:$B,MATCH(I64,'Brown-Universal mapping'!$A:$A,0))</f>
        <v>NOUN</v>
      </c>
      <c r="M64" s="5">
        <f t="shared" si="0"/>
        <v>0</v>
      </c>
      <c r="N64" s="5">
        <f t="shared" si="1"/>
        <v>0</v>
      </c>
      <c r="P64" s="12" t="s">
        <v>64</v>
      </c>
      <c r="Q64" s="7" t="s">
        <v>301</v>
      </c>
      <c r="R64" s="7" t="str">
        <f>INDEX('Brown tagset'!$B:$B,MATCH(IF(ISERROR(FIND("-",Q64)),IF(ISERROR(FIND("+",Q64)),Q64,LEFT(Q64,FIND("+",Q64)-1)),LEFT(Q64,FIND("-",Q64)-1)),'Brown tagset'!$A:$A,0))</f>
        <v>wh- adverb (how, where, when)</v>
      </c>
      <c r="S64" s="7"/>
      <c r="T64" s="7" t="str">
        <f>INDEX('Brown-Universal mapping'!$B:$B,MATCH(Q64,'Brown-Universal mapping'!$A:$A,0))</f>
        <v>ADV</v>
      </c>
      <c r="U64" s="7">
        <f t="shared" si="2"/>
        <v>0</v>
      </c>
      <c r="V64" s="7">
        <f t="shared" si="3"/>
        <v>0</v>
      </c>
      <c r="X64" s="12" t="s">
        <v>64</v>
      </c>
      <c r="Y64" s="7" t="s">
        <v>287</v>
      </c>
      <c r="Z64" s="7" t="str">
        <f>INDEX('Brown tagset'!$B:$B,MATCH(IF(ISERROR(FIND("-",Y64)),IF(ISERROR(FIND("+",Y64)),Y64,LEFT(Y64,FIND("+",Y64)-1)),LEFT(Y64,FIND("-",Y64)-1)),'Brown tagset'!$A:$A,0))</f>
        <v>proper noun or part of name phrase</v>
      </c>
      <c r="AA64" s="7"/>
      <c r="AB64" s="7" t="str">
        <f>INDEX('Brown-Universal mapping'!$B:$B,MATCH(Y64,'Brown-Universal mapping'!$A:$A,0))</f>
        <v>NOUN</v>
      </c>
      <c r="AC64" s="7">
        <f t="shared" si="4"/>
        <v>0</v>
      </c>
      <c r="AD64" s="7">
        <f t="shared" si="5"/>
        <v>0</v>
      </c>
      <c r="AF64" s="9" t="s">
        <v>340</v>
      </c>
      <c r="AG64" s="9" t="str">
        <f>INDEX('Brown tagset'!$B:$B,MATCH(IF(ISERROR(FIND("-",AF64)),IF(ISERROR(FIND("+",AF64)),AF64,LEFT(AF64,FIND("+",AF64)-1)),LEFT(AF64,FIND("-",AF64)-1)),'Brown tagset'!$A:$A,0))</f>
        <v>unknown</v>
      </c>
      <c r="AH64" s="9" t="s">
        <v>2</v>
      </c>
      <c r="AI64" s="9" t="str">
        <f>INDEX('Brown-Universal mapping'!$B:$B,MATCH(AF64,'Brown-Universal mapping'!$A:$A,0))</f>
        <v>Unknown</v>
      </c>
      <c r="AJ64" s="9">
        <f t="shared" si="6"/>
        <v>0</v>
      </c>
      <c r="AK64" s="9">
        <f t="shared" si="7"/>
        <v>0</v>
      </c>
      <c r="AM64" s="6">
        <f t="shared" si="8"/>
        <v>0</v>
      </c>
      <c r="AN64" s="6">
        <f t="shared" si="9"/>
        <v>0</v>
      </c>
      <c r="AP64" s="6" t="str">
        <f t="shared" si="10"/>
        <v>unknown0</v>
      </c>
    </row>
    <row r="65" spans="1:42" x14ac:dyDescent="0.25">
      <c r="A65" s="28" t="s">
        <v>67</v>
      </c>
      <c r="B65" s="28"/>
      <c r="D65" s="3" t="s">
        <v>68</v>
      </c>
      <c r="E65" s="3" t="str">
        <f>INDEX('Brown tagset'!$B:$B,MATCH(IF(ISERROR(FIND("-",D65)),IF(ISERROR(FIND("+",D65)),D65,LEFT(D65,FIND("+",D65)-1)),LEFT(D65,FIND("-",D65)-1)),'Brown tagset'!$A:$A,0))</f>
        <v>verb, base form</v>
      </c>
      <c r="F65" s="3"/>
      <c r="G65" s="3" t="str">
        <f>INDEX('Brown-Universal mapping'!$B:$B,MATCH(D65,'Brown-Universal mapping'!$A:$A,0))</f>
        <v>VERB</v>
      </c>
      <c r="I65" s="5" t="s">
        <v>69</v>
      </c>
      <c r="J65" s="5" t="str">
        <f>INDEX('Brown tagset'!$B:$B,MATCH(IF(ISERROR(FIND("-",I65)),IF(ISERROR(FIND("+",I65)),I65,LEFT(I65,FIND("+",I65)-1)),LEFT(I65,FIND("-",I65)-1)),'Brown tagset'!$A:$A,0))</f>
        <v>preposition</v>
      </c>
      <c r="K65" s="5" t="s">
        <v>2</v>
      </c>
      <c r="L65" s="5" t="str">
        <f>INDEX('Brown-Universal mapping'!$B:$B,MATCH(I65,'Brown-Universal mapping'!$A:$A,0))</f>
        <v>ADP</v>
      </c>
      <c r="M65" s="5">
        <f t="shared" si="0"/>
        <v>0</v>
      </c>
      <c r="N65" s="5">
        <f t="shared" si="1"/>
        <v>0</v>
      </c>
      <c r="P65" s="12" t="s">
        <v>67</v>
      </c>
      <c r="Q65" s="7" t="s">
        <v>296</v>
      </c>
      <c r="R65" s="7" t="str">
        <f>INDEX('Brown tagset'!$B:$B,MATCH(IF(ISERROR(FIND("-",Q65)),IF(ISERROR(FIND("+",Q65)),Q65,LEFT(Q65,FIND("+",Q65)-1)),LEFT(Q65,FIND("-",Q65)-1)),'Brown tagset'!$A:$A,0))</f>
        <v>verb, base form</v>
      </c>
      <c r="S65" s="7"/>
      <c r="T65" s="7" t="str">
        <f>INDEX('Brown-Universal mapping'!$B:$B,MATCH(Q65,'Brown-Universal mapping'!$A:$A,0))</f>
        <v>VERB</v>
      </c>
      <c r="U65" s="7">
        <f t="shared" si="2"/>
        <v>0</v>
      </c>
      <c r="V65" s="7">
        <f t="shared" si="3"/>
        <v>1</v>
      </c>
      <c r="X65" s="12" t="s">
        <v>67</v>
      </c>
      <c r="Y65" s="7" t="s">
        <v>312</v>
      </c>
      <c r="Z65" s="7" t="str">
        <f>INDEX('Brown tagset'!$B:$B,MATCH(IF(ISERROR(FIND("-",Y65)),IF(ISERROR(FIND("+",Y65)),Y65,LEFT(Y65,FIND("+",Y65)-1)),LEFT(Y65,FIND("-",Y65)-1)),'Brown tagset'!$A:$A,0))</f>
        <v>verb, past tense</v>
      </c>
      <c r="AA65" s="7"/>
      <c r="AB65" s="7" t="str">
        <f>INDEX('Brown-Universal mapping'!$B:$B,MATCH(Y65,'Brown-Universal mapping'!$A:$A,0))</f>
        <v>VERB</v>
      </c>
      <c r="AC65" s="7">
        <f t="shared" si="4"/>
        <v>0</v>
      </c>
      <c r="AD65" s="7">
        <f t="shared" si="5"/>
        <v>1</v>
      </c>
      <c r="AF65" s="9" t="s">
        <v>340</v>
      </c>
      <c r="AG65" s="9" t="str">
        <f>INDEX('Brown tagset'!$B:$B,MATCH(IF(ISERROR(FIND("-",AF65)),IF(ISERROR(FIND("+",AF65)),AF65,LEFT(AF65,FIND("+",AF65)-1)),LEFT(AF65,FIND("-",AF65)-1)),'Brown tagset'!$A:$A,0))</f>
        <v>unknown</v>
      </c>
      <c r="AH65" s="9" t="s">
        <v>2</v>
      </c>
      <c r="AI65" s="9" t="str">
        <f>INDEX('Brown-Universal mapping'!$B:$B,MATCH(AF65,'Brown-Universal mapping'!$A:$A,0))</f>
        <v>Unknown</v>
      </c>
      <c r="AJ65" s="9">
        <f t="shared" si="6"/>
        <v>0</v>
      </c>
      <c r="AK65" s="9">
        <f t="shared" si="7"/>
        <v>0</v>
      </c>
      <c r="AM65" s="6">
        <f t="shared" si="8"/>
        <v>0</v>
      </c>
      <c r="AN65" s="6">
        <f t="shared" si="9"/>
        <v>1</v>
      </c>
      <c r="AP65" s="6" t="str">
        <f t="shared" si="10"/>
        <v>unknown0</v>
      </c>
    </row>
    <row r="66" spans="1:42" x14ac:dyDescent="0.25">
      <c r="A66" s="29" t="s">
        <v>70</v>
      </c>
      <c r="B66" s="29"/>
      <c r="D66" s="3" t="s">
        <v>66</v>
      </c>
      <c r="E66" s="3" t="str">
        <f>INDEX('Brown tagset'!$B:$B,MATCH(IF(ISERROR(FIND("-",D66)),IF(ISERROR(FIND("+",D66)),D66,LEFT(D66,FIND("+",D66)-1)),LEFT(D66,FIND("-",D66)-1)),'Brown tagset'!$A:$A,0))</f>
        <v>proper noun or part of name phrase</v>
      </c>
      <c r="F66" s="3"/>
      <c r="G66" s="3" t="str">
        <f>INDEX('Brown-Universal mapping'!$B:$B,MATCH(D66,'Brown-Universal mapping'!$A:$A,0))</f>
        <v>NOUN</v>
      </c>
      <c r="I66" s="5" t="s">
        <v>66</v>
      </c>
      <c r="J66" s="5" t="str">
        <f>INDEX('Brown tagset'!$B:$B,MATCH(IF(ISERROR(FIND("-",I66)),IF(ISERROR(FIND("+",I66)),I66,LEFT(I66,FIND("+",I66)-1)),LEFT(I66,FIND("-",I66)-1)),'Brown tagset'!$A:$A,0))</f>
        <v>proper noun or part of name phrase</v>
      </c>
      <c r="K66" s="5" t="s">
        <v>13</v>
      </c>
      <c r="L66" s="5" t="str">
        <f>INDEX('Brown-Universal mapping'!$B:$B,MATCH(I66,'Brown-Universal mapping'!$A:$A,0))</f>
        <v>NOUN</v>
      </c>
      <c r="M66" s="5">
        <f t="shared" si="0"/>
        <v>1</v>
      </c>
      <c r="N66" s="5">
        <f t="shared" si="1"/>
        <v>1</v>
      </c>
      <c r="P66" s="12" t="s">
        <v>70</v>
      </c>
      <c r="Q66" s="7" t="s">
        <v>287</v>
      </c>
      <c r="R66" s="7" t="str">
        <f>INDEX('Brown tagset'!$B:$B,MATCH(IF(ISERROR(FIND("-",Q66)),IF(ISERROR(FIND("+",Q66)),Q66,LEFT(Q66,FIND("+",Q66)-1)),LEFT(Q66,FIND("-",Q66)-1)),'Brown tagset'!$A:$A,0))</f>
        <v>proper noun or part of name phrase</v>
      </c>
      <c r="S66" s="7"/>
      <c r="T66" s="7" t="str">
        <f>INDEX('Brown-Universal mapping'!$B:$B,MATCH(Q66,'Brown-Universal mapping'!$A:$A,0))</f>
        <v>NOUN</v>
      </c>
      <c r="U66" s="7">
        <f t="shared" si="2"/>
        <v>1</v>
      </c>
      <c r="V66" s="7">
        <f t="shared" si="3"/>
        <v>1</v>
      </c>
      <c r="X66" s="12" t="s">
        <v>70</v>
      </c>
      <c r="Y66" s="7" t="s">
        <v>287</v>
      </c>
      <c r="Z66" s="7" t="str">
        <f>INDEX('Brown tagset'!$B:$B,MATCH(IF(ISERROR(FIND("-",Y66)),IF(ISERROR(FIND("+",Y66)),Y66,LEFT(Y66,FIND("+",Y66)-1)),LEFT(Y66,FIND("-",Y66)-1)),'Brown tagset'!$A:$A,0))</f>
        <v>proper noun or part of name phrase</v>
      </c>
      <c r="AA66" s="7"/>
      <c r="AB66" s="7" t="str">
        <f>INDEX('Brown-Universal mapping'!$B:$B,MATCH(Y66,'Brown-Universal mapping'!$A:$A,0))</f>
        <v>NOUN</v>
      </c>
      <c r="AC66" s="7">
        <f t="shared" si="4"/>
        <v>1</v>
      </c>
      <c r="AD66" s="7">
        <f t="shared" si="5"/>
        <v>1</v>
      </c>
      <c r="AF66" s="9" t="s">
        <v>66</v>
      </c>
      <c r="AG66" s="9" t="str">
        <f>INDEX('Brown tagset'!$B:$B,MATCH(IF(ISERROR(FIND("-",AF66)),IF(ISERROR(FIND("+",AF66)),AF66,LEFT(AF66,FIND("+",AF66)-1)),LEFT(AF66,FIND("-",AF66)-1)),'Brown tagset'!$A:$A,0))</f>
        <v>proper noun or part of name phrase</v>
      </c>
      <c r="AH66" s="9" t="s">
        <v>13</v>
      </c>
      <c r="AI66" s="9" t="str">
        <f>INDEX('Brown-Universal mapping'!$B:$B,MATCH(AF66,'Brown-Universal mapping'!$A:$A,0))</f>
        <v>NOUN</v>
      </c>
      <c r="AJ66" s="9">
        <f t="shared" si="6"/>
        <v>1</v>
      </c>
      <c r="AK66" s="9">
        <f t="shared" si="7"/>
        <v>1</v>
      </c>
      <c r="AM66" s="6">
        <f t="shared" si="8"/>
        <v>3</v>
      </c>
      <c r="AN66" s="6">
        <f t="shared" si="9"/>
        <v>3</v>
      </c>
      <c r="AP66" s="6" t="str">
        <f t="shared" si="10"/>
        <v>proper noun or part of name phrase3</v>
      </c>
    </row>
    <row r="67" spans="1:42" x14ac:dyDescent="0.25">
      <c r="A67" s="29" t="s">
        <v>71</v>
      </c>
      <c r="B67" s="29"/>
      <c r="D67" s="3" t="s">
        <v>66</v>
      </c>
      <c r="E67" s="3" t="str">
        <f>INDEX('Brown tagset'!$B:$B,MATCH(IF(ISERROR(FIND("-",D67)),IF(ISERROR(FIND("+",D67)),D67,LEFT(D67,FIND("+",D67)-1)),LEFT(D67,FIND("-",D67)-1)),'Brown tagset'!$A:$A,0))</f>
        <v>proper noun or part of name phrase</v>
      </c>
      <c r="F67" s="3"/>
      <c r="G67" s="3" t="str">
        <f>INDEX('Brown-Universal mapping'!$B:$B,MATCH(D67,'Brown-Universal mapping'!$A:$A,0))</f>
        <v>NOUN</v>
      </c>
      <c r="I67" s="5" t="s">
        <v>66</v>
      </c>
      <c r="J67" s="5" t="str">
        <f>INDEX('Brown tagset'!$B:$B,MATCH(IF(ISERROR(FIND("-",I67)),IF(ISERROR(FIND("+",I67)),I67,LEFT(I67,FIND("+",I67)-1)),LEFT(I67,FIND("-",I67)-1)),'Brown tagset'!$A:$A,0))</f>
        <v>proper noun or part of name phrase</v>
      </c>
      <c r="K67" s="5" t="s">
        <v>13</v>
      </c>
      <c r="L67" s="5" t="str">
        <f>INDEX('Brown-Universal mapping'!$B:$B,MATCH(I67,'Brown-Universal mapping'!$A:$A,0))</f>
        <v>NOUN</v>
      </c>
      <c r="M67" s="5">
        <f t="shared" si="0"/>
        <v>1</v>
      </c>
      <c r="N67" s="5">
        <f t="shared" si="1"/>
        <v>1</v>
      </c>
      <c r="P67" s="12" t="s">
        <v>71</v>
      </c>
      <c r="Q67" s="7" t="s">
        <v>302</v>
      </c>
      <c r="R67" s="7" t="str">
        <f>INDEX('Brown tagset'!$B:$B,MATCH(IF(ISERROR(FIND("-",Q67)),IF(ISERROR(FIND("+",Q67)),Q67,LEFT(Q67,FIND("+",Q67)-1)),LEFT(Q67,FIND("-",Q67)-1)),'Brown tagset'!$A:$A,0))</f>
        <v>proper noun or part of name phrase</v>
      </c>
      <c r="S67" s="7"/>
      <c r="T67" s="7" t="str">
        <f>INDEX('Brown-Universal mapping'!$B:$B,MATCH(Q67,'Brown-Universal mapping'!$A:$A,0))</f>
        <v>NOUN</v>
      </c>
      <c r="U67" s="7">
        <f t="shared" si="2"/>
        <v>0</v>
      </c>
      <c r="V67" s="7">
        <f t="shared" si="3"/>
        <v>1</v>
      </c>
      <c r="X67" s="12" t="s">
        <v>71</v>
      </c>
      <c r="Y67" s="7" t="s">
        <v>287</v>
      </c>
      <c r="Z67" s="7" t="str">
        <f>INDEX('Brown tagset'!$B:$B,MATCH(IF(ISERROR(FIND("-",Y67)),IF(ISERROR(FIND("+",Y67)),Y67,LEFT(Y67,FIND("+",Y67)-1)),LEFT(Y67,FIND("-",Y67)-1)),'Brown tagset'!$A:$A,0))</f>
        <v>proper noun or part of name phrase</v>
      </c>
      <c r="AA67" s="7"/>
      <c r="AB67" s="7" t="str">
        <f>INDEX('Brown-Universal mapping'!$B:$B,MATCH(Y67,'Brown-Universal mapping'!$A:$A,0))</f>
        <v>NOUN</v>
      </c>
      <c r="AC67" s="7">
        <f t="shared" si="4"/>
        <v>1</v>
      </c>
      <c r="AD67" s="7">
        <f t="shared" si="5"/>
        <v>1</v>
      </c>
      <c r="AF67" s="9" t="s">
        <v>66</v>
      </c>
      <c r="AG67" s="9" t="str">
        <f>INDEX('Brown tagset'!$B:$B,MATCH(IF(ISERROR(FIND("-",AF67)),IF(ISERROR(FIND("+",AF67)),AF67,LEFT(AF67,FIND("+",AF67)-1)),LEFT(AF67,FIND("-",AF67)-1)),'Brown tagset'!$A:$A,0))</f>
        <v>proper noun or part of name phrase</v>
      </c>
      <c r="AH67" s="9" t="s">
        <v>13</v>
      </c>
      <c r="AI67" s="9" t="str">
        <f>INDEX('Brown-Universal mapping'!$B:$B,MATCH(AF67,'Brown-Universal mapping'!$A:$A,0))</f>
        <v>NOUN</v>
      </c>
      <c r="AJ67" s="9">
        <f t="shared" si="6"/>
        <v>1</v>
      </c>
      <c r="AK67" s="9">
        <f t="shared" si="7"/>
        <v>1</v>
      </c>
      <c r="AM67" s="6">
        <f t="shared" si="8"/>
        <v>3</v>
      </c>
      <c r="AN67" s="6">
        <f t="shared" si="9"/>
        <v>3</v>
      </c>
      <c r="AP67" s="6" t="str">
        <f t="shared" si="10"/>
        <v>proper noun or part of name phrase3</v>
      </c>
    </row>
    <row r="68" spans="1:42" x14ac:dyDescent="0.25">
      <c r="A68" s="29" t="s">
        <v>72</v>
      </c>
      <c r="B68" s="29"/>
      <c r="D68" s="3" t="s">
        <v>38</v>
      </c>
      <c r="E68" s="3" t="str">
        <f>INDEX('Brown tagset'!$B:$B,MATCH(IF(ISERROR(FIND("-",D68)),IF(ISERROR(FIND("+",D68)),D68,LEFT(D68,FIND("+",D68)-1)),LEFT(D68,FIND("-",D68)-1)),'Brown tagset'!$A:$A,0))</f>
        <v>sentence (. ; ? *)</v>
      </c>
      <c r="F68" s="3"/>
      <c r="G68" s="3" t="str">
        <f>INDEX('Brown-Universal mapping'!$B:$B,MATCH(D68,'Brown-Universal mapping'!$A:$A,0))</f>
        <v>.</v>
      </c>
      <c r="I68" s="5" t="s">
        <v>38</v>
      </c>
      <c r="J68" s="5" t="str">
        <f>INDEX('Brown tagset'!$B:$B,MATCH(IF(ISERROR(FIND("-",I68)),IF(ISERROR(FIND("+",I68)),I68,LEFT(I68,FIND("+",I68)-1)),LEFT(I68,FIND("-",I68)-1)),'Brown tagset'!$A:$A,0))</f>
        <v>sentence (. ; ? *)</v>
      </c>
      <c r="K68" s="5" t="s">
        <v>38</v>
      </c>
      <c r="L68" s="5" t="str">
        <f>INDEX('Brown-Universal mapping'!$B:$B,MATCH(I68,'Brown-Universal mapping'!$A:$A,0))</f>
        <v>.</v>
      </c>
      <c r="M68" s="5">
        <f t="shared" si="0"/>
        <v>1</v>
      </c>
      <c r="N68" s="5">
        <f t="shared" si="1"/>
        <v>1</v>
      </c>
      <c r="P68" s="12" t="s">
        <v>72</v>
      </c>
      <c r="Q68" s="7" t="s">
        <v>38</v>
      </c>
      <c r="R68" s="7" t="str">
        <f>INDEX('Brown tagset'!$B:$B,MATCH(IF(ISERROR(FIND("-",Q68)),IF(ISERROR(FIND("+",Q68)),Q68,LEFT(Q68,FIND("+",Q68)-1)),LEFT(Q68,FIND("-",Q68)-1)),'Brown tagset'!$A:$A,0))</f>
        <v>sentence (. ; ? *)</v>
      </c>
      <c r="S68" s="7"/>
      <c r="T68" s="7" t="str">
        <f>INDEX('Brown-Universal mapping'!$B:$B,MATCH(Q68,'Brown-Universal mapping'!$A:$A,0))</f>
        <v>.</v>
      </c>
      <c r="U68" s="7">
        <f t="shared" si="2"/>
        <v>1</v>
      </c>
      <c r="V68" s="7">
        <f t="shared" si="3"/>
        <v>1</v>
      </c>
      <c r="X68" s="12" t="s">
        <v>72</v>
      </c>
      <c r="Y68" s="7" t="s">
        <v>38</v>
      </c>
      <c r="Z68" s="7" t="str">
        <f>INDEX('Brown tagset'!$B:$B,MATCH(IF(ISERROR(FIND("-",Y68)),IF(ISERROR(FIND("+",Y68)),Y68,LEFT(Y68,FIND("+",Y68)-1)),LEFT(Y68,FIND("-",Y68)-1)),'Brown tagset'!$A:$A,0))</f>
        <v>sentence (. ; ? *)</v>
      </c>
      <c r="AA68" s="7"/>
      <c r="AB68" s="7" t="str">
        <f>INDEX('Brown-Universal mapping'!$B:$B,MATCH(Y68,'Brown-Universal mapping'!$A:$A,0))</f>
        <v>.</v>
      </c>
      <c r="AC68" s="7">
        <f t="shared" si="4"/>
        <v>1</v>
      </c>
      <c r="AD68" s="7">
        <f t="shared" si="5"/>
        <v>1</v>
      </c>
      <c r="AF68" s="9" t="s">
        <v>38</v>
      </c>
      <c r="AG68" s="9" t="str">
        <f>INDEX('Brown tagset'!$B:$B,MATCH(IF(ISERROR(FIND("-",AF68)),IF(ISERROR(FIND("+",AF68)),AF68,LEFT(AF68,FIND("+",AF68)-1)),LEFT(AF68,FIND("-",AF68)-1)),'Brown tagset'!$A:$A,0))</f>
        <v>sentence (. ; ? *)</v>
      </c>
      <c r="AH68" s="9" t="s">
        <v>38</v>
      </c>
      <c r="AI68" s="9" t="str">
        <f>INDEX('Brown-Universal mapping'!$B:$B,MATCH(AF68,'Brown-Universal mapping'!$A:$A,0))</f>
        <v>.</v>
      </c>
      <c r="AJ68" s="9">
        <f t="shared" si="6"/>
        <v>1</v>
      </c>
      <c r="AK68" s="9">
        <f t="shared" si="7"/>
        <v>1</v>
      </c>
      <c r="AM68" s="6">
        <f t="shared" si="8"/>
        <v>3</v>
      </c>
      <c r="AN68" s="6">
        <f t="shared" si="9"/>
        <v>3</v>
      </c>
      <c r="AP68" s="6" t="str">
        <f t="shared" si="10"/>
        <v>sentence (. ; ? *)3</v>
      </c>
    </row>
    <row r="69" spans="1:42" x14ac:dyDescent="0.25">
      <c r="A69" s="28" t="s">
        <v>73</v>
      </c>
      <c r="B69" s="28"/>
      <c r="D69" s="3" t="s">
        <v>74</v>
      </c>
      <c r="E69" s="3" t="str">
        <f>INDEX('Brown tagset'!$B:$B,MATCH(IF(ISERROR(FIND("-",D69)),IF(ISERROR(FIND("+",D69)),D69,LEFT(D69,FIND("+",D69)-1)),LEFT(D69,FIND("-",D69)-1)),'Brown tagset'!$A:$A,0))</f>
        <v>wh- determiner (what, which)</v>
      </c>
      <c r="F69" s="3"/>
      <c r="G69" s="3" t="str">
        <f>INDEX('Brown-Universal mapping'!$B:$B,MATCH(D69,'Brown-Universal mapping'!$A:$A,0))</f>
        <v>X</v>
      </c>
      <c r="I69" s="5" t="s">
        <v>12</v>
      </c>
      <c r="J69" s="5" t="str">
        <f>INDEX('Brown tagset'!$B:$B,MATCH(IF(ISERROR(FIND("-",I69)),IF(ISERROR(FIND("+",I69)),I69,LEFT(I69,FIND("+",I69)-1)),LEFT(I69,FIND("-",I69)-1)),'Brown tagset'!$A:$A,0))</f>
        <v>singular or mass noun</v>
      </c>
      <c r="K69" s="5" t="s">
        <v>13</v>
      </c>
      <c r="L69" s="5" t="str">
        <f>INDEX('Brown-Universal mapping'!$B:$B,MATCH(I69,'Brown-Universal mapping'!$A:$A,0))</f>
        <v>NOUN</v>
      </c>
      <c r="M69" s="5">
        <f t="shared" si="0"/>
        <v>0</v>
      </c>
      <c r="N69" s="5">
        <f t="shared" si="1"/>
        <v>0</v>
      </c>
      <c r="P69" s="12" t="s">
        <v>73</v>
      </c>
      <c r="Q69" s="7" t="s">
        <v>301</v>
      </c>
      <c r="R69" s="7" t="str">
        <f>INDEX('Brown tagset'!$B:$B,MATCH(IF(ISERROR(FIND("-",Q69)),IF(ISERROR(FIND("+",Q69)),Q69,LEFT(Q69,FIND("+",Q69)-1)),LEFT(Q69,FIND("-",Q69)-1)),'Brown tagset'!$A:$A,0))</f>
        <v>wh- adverb (how, where, when)</v>
      </c>
      <c r="S69" s="7"/>
      <c r="T69" s="7" t="str">
        <f>INDEX('Brown-Universal mapping'!$B:$B,MATCH(Q69,'Brown-Universal mapping'!$A:$A,0))</f>
        <v>ADV</v>
      </c>
      <c r="U69" s="7">
        <f t="shared" si="2"/>
        <v>0</v>
      </c>
      <c r="V69" s="7">
        <f t="shared" si="3"/>
        <v>0</v>
      </c>
      <c r="X69" s="12" t="s">
        <v>73</v>
      </c>
      <c r="Y69" s="7" t="s">
        <v>875</v>
      </c>
      <c r="Z69" s="7" t="str">
        <f>INDEX('Brown tagset'!$B:$B,MATCH(IF(ISERROR(FIND("-",Y69)),IF(ISERROR(FIND("+",Y69)),Y69,LEFT(Y69,FIND("+",Y69)-1)),LEFT(Y69,FIND("-",Y69)-1)),'Brown tagset'!$A:$A,0))</f>
        <v>adjective</v>
      </c>
      <c r="AA69" s="7"/>
      <c r="AB69" s="7" t="str">
        <f>INDEX('Brown-Universal mapping'!$B:$B,MATCH(Y69,'Brown-Universal mapping'!$A:$A,0))</f>
        <v>ADJ</v>
      </c>
      <c r="AC69" s="7">
        <f t="shared" si="4"/>
        <v>0</v>
      </c>
      <c r="AD69" s="7">
        <f t="shared" si="5"/>
        <v>0</v>
      </c>
      <c r="AF69" s="9" t="s">
        <v>340</v>
      </c>
      <c r="AG69" s="9" t="str">
        <f>INDEX('Brown tagset'!$B:$B,MATCH(IF(ISERROR(FIND("-",AF69)),IF(ISERROR(FIND("+",AF69)),AF69,LEFT(AF69,FIND("+",AF69)-1)),LEFT(AF69,FIND("-",AF69)-1)),'Brown tagset'!$A:$A,0))</f>
        <v>unknown</v>
      </c>
      <c r="AH69" s="9" t="s">
        <v>2</v>
      </c>
      <c r="AI69" s="9" t="str">
        <f>INDEX('Brown-Universal mapping'!$B:$B,MATCH(AF69,'Brown-Universal mapping'!$A:$A,0))</f>
        <v>Unknown</v>
      </c>
      <c r="AJ69" s="9">
        <f t="shared" si="6"/>
        <v>0</v>
      </c>
      <c r="AK69" s="9">
        <f t="shared" si="7"/>
        <v>0</v>
      </c>
      <c r="AM69" s="6">
        <f t="shared" si="8"/>
        <v>0</v>
      </c>
      <c r="AN69" s="6">
        <f t="shared" si="9"/>
        <v>0</v>
      </c>
      <c r="AP69" s="6" t="str">
        <f t="shared" si="10"/>
        <v>unknown0</v>
      </c>
    </row>
    <row r="70" spans="1:42" x14ac:dyDescent="0.25">
      <c r="A70" s="28" t="s">
        <v>75</v>
      </c>
      <c r="B70" s="28"/>
      <c r="D70" s="3" t="s">
        <v>76</v>
      </c>
      <c r="E70" s="3" t="str">
        <f>INDEX('Brown tagset'!$B:$B,MATCH(IF(ISERROR(FIND("-",D70)),IF(ISERROR(FIND("+",D70)),D70,LEFT(D70,FIND("+",D70)-1)),LEFT(D70,FIND("-",D70)-1)),'Brown tagset'!$A:$A,0))</f>
        <v>verb, present participle/gerund</v>
      </c>
      <c r="F70" s="3"/>
      <c r="G70" s="3" t="str">
        <f>INDEX('Brown-Universal mapping'!$B:$B,MATCH(D70,'Brown-Universal mapping'!$A:$A,0))</f>
        <v>VERB</v>
      </c>
      <c r="I70" s="5" t="s">
        <v>77</v>
      </c>
      <c r="J70" s="5" t="str">
        <f>INDEX('Brown tagset'!$B:$B,MATCH(IF(ISERROR(FIND("-",I70)),IF(ISERROR(FIND("+",I70)),I70,LEFT(I70,FIND("+",I70)-1)),LEFT(I70,FIND("-",I70)-1)),'Brown tagset'!$A:$A,0))</f>
        <v>plural noun</v>
      </c>
      <c r="K70" s="5" t="s">
        <v>2</v>
      </c>
      <c r="L70" s="5" t="str">
        <f>INDEX('Brown-Universal mapping'!$B:$B,MATCH(I70,'Brown-Universal mapping'!$A:$A,0))</f>
        <v>NOUN</v>
      </c>
      <c r="M70" s="5">
        <f t="shared" si="0"/>
        <v>0</v>
      </c>
      <c r="N70" s="5">
        <f t="shared" si="1"/>
        <v>0</v>
      </c>
      <c r="P70" s="12" t="s">
        <v>303</v>
      </c>
      <c r="Q70" s="7" t="s">
        <v>289</v>
      </c>
      <c r="R70" s="7" t="str">
        <f>INDEX('Brown tagset'!$B:$B,MATCH(IF(ISERROR(FIND("-",Q70)),IF(ISERROR(FIND("+",Q70)),Q70,LEFT(Q70,FIND("+",Q70)-1)),LEFT(Q70,FIND("-",Q70)-1)),'Brown tagset'!$A:$A,0))</f>
        <v>singular or mass noun</v>
      </c>
      <c r="S70" s="7"/>
      <c r="T70" s="7" t="str">
        <f>INDEX('Brown-Universal mapping'!$B:$B,MATCH(Q70,'Brown-Universal mapping'!$A:$A,0))</f>
        <v>NOUN</v>
      </c>
      <c r="U70" s="7">
        <f t="shared" si="2"/>
        <v>0</v>
      </c>
      <c r="V70" s="7">
        <f t="shared" si="3"/>
        <v>0</v>
      </c>
      <c r="X70" s="12" t="s">
        <v>75</v>
      </c>
      <c r="Y70" s="7" t="s">
        <v>856</v>
      </c>
      <c r="Z70" s="7" t="str">
        <f>INDEX('Brown tagset'!$B:$B,MATCH(IF(ISERROR(FIND("-",Y70)),IF(ISERROR(FIND("+",Y70)),Y70,LEFT(Y70,FIND("+",Y70)-1)),LEFT(Y70,FIND("-",Y70)-1)),'Brown tagset'!$A:$A,0))</f>
        <v>singular or mass noun</v>
      </c>
      <c r="AA70" s="7"/>
      <c r="AB70" s="7" t="str">
        <f>INDEX('Brown-Universal mapping'!$B:$B,MATCH(Y70,'Brown-Universal mapping'!$A:$A,0))</f>
        <v>NOUN</v>
      </c>
      <c r="AC70" s="7">
        <f t="shared" si="4"/>
        <v>0</v>
      </c>
      <c r="AD70" s="7">
        <f t="shared" si="5"/>
        <v>0</v>
      </c>
      <c r="AF70" s="9" t="s">
        <v>340</v>
      </c>
      <c r="AG70" s="9" t="str">
        <f>INDEX('Brown tagset'!$B:$B,MATCH(IF(ISERROR(FIND("-",AF70)),IF(ISERROR(FIND("+",AF70)),AF70,LEFT(AF70,FIND("+",AF70)-1)),LEFT(AF70,FIND("-",AF70)-1)),'Brown tagset'!$A:$A,0))</f>
        <v>unknown</v>
      </c>
      <c r="AH70" s="9" t="s">
        <v>2</v>
      </c>
      <c r="AI70" s="9" t="str">
        <f>INDEX('Brown-Universal mapping'!$B:$B,MATCH(AF70,'Brown-Universal mapping'!$A:$A,0))</f>
        <v>Unknown</v>
      </c>
      <c r="AJ70" s="9">
        <f t="shared" si="6"/>
        <v>0</v>
      </c>
      <c r="AK70" s="9">
        <f t="shared" si="7"/>
        <v>0</v>
      </c>
      <c r="AM70" s="6">
        <f t="shared" si="8"/>
        <v>0</v>
      </c>
      <c r="AN70" s="6">
        <f t="shared" si="9"/>
        <v>0</v>
      </c>
      <c r="AP70" s="6" t="str">
        <f t="shared" si="10"/>
        <v>unknown0</v>
      </c>
    </row>
    <row r="71" spans="1:42" x14ac:dyDescent="0.25">
      <c r="A71" s="29" t="s">
        <v>19</v>
      </c>
      <c r="B71" s="29"/>
      <c r="D71" s="3" t="s">
        <v>20</v>
      </c>
      <c r="E71" s="3" t="str">
        <f>INDEX('Brown tagset'!$B:$B,MATCH(IF(ISERROR(FIND("-",D71)),IF(ISERROR(FIND("+",D71)),D71,LEFT(D71,FIND("+",D71)-1)),LEFT(D71,FIND("-",D71)-1)),'Brown tagset'!$A:$A,0))</f>
        <v>do</v>
      </c>
      <c r="F71" s="3"/>
      <c r="G71" s="3" t="str">
        <f>INDEX('Brown-Universal mapping'!$B:$B,MATCH(D71,'Brown-Universal mapping'!$A:$A,0))</f>
        <v>VERB</v>
      </c>
      <c r="I71" s="5" t="s">
        <v>20</v>
      </c>
      <c r="J71" s="5" t="str">
        <f>INDEX('Brown tagset'!$B:$B,MATCH(IF(ISERROR(FIND("-",I71)),IF(ISERROR(FIND("+",I71)),I71,LEFT(I71,FIND("+",I71)-1)),LEFT(I71,FIND("-",I71)-1)),'Brown tagset'!$A:$A,0))</f>
        <v>do</v>
      </c>
      <c r="K71" s="5" t="s">
        <v>2</v>
      </c>
      <c r="L71" s="5" t="str">
        <f>INDEX('Brown-Universal mapping'!$B:$B,MATCH(I71,'Brown-Universal mapping'!$A:$A,0))</f>
        <v>VERB</v>
      </c>
      <c r="M71" s="5">
        <f t="shared" si="0"/>
        <v>1</v>
      </c>
      <c r="N71" s="5">
        <f t="shared" si="1"/>
        <v>1</v>
      </c>
      <c r="P71" s="12" t="s">
        <v>19</v>
      </c>
      <c r="Q71" s="7" t="s">
        <v>19</v>
      </c>
      <c r="R71" s="7" t="str">
        <f>INDEX('Brown tagset'!$B:$B,MATCH(IF(ISERROR(FIND("-",Q71)),IF(ISERROR(FIND("+",Q71)),Q71,LEFT(Q71,FIND("+",Q71)-1)),LEFT(Q71,FIND("-",Q71)-1)),'Brown tagset'!$A:$A,0))</f>
        <v>do</v>
      </c>
      <c r="S71" s="7"/>
      <c r="T71" s="7" t="str">
        <f>INDEX('Brown-Universal mapping'!$B:$B,MATCH(Q71,'Brown-Universal mapping'!$A:$A,0))</f>
        <v>VERB</v>
      </c>
      <c r="U71" s="7">
        <f t="shared" si="2"/>
        <v>1</v>
      </c>
      <c r="V71" s="7">
        <f t="shared" si="3"/>
        <v>1</v>
      </c>
      <c r="X71" s="12" t="s">
        <v>19</v>
      </c>
      <c r="Y71" s="7" t="s">
        <v>19</v>
      </c>
      <c r="Z71" s="7" t="str">
        <f>INDEX('Brown tagset'!$B:$B,MATCH(IF(ISERROR(FIND("-",Y71)),IF(ISERROR(FIND("+",Y71)),Y71,LEFT(Y71,FIND("+",Y71)-1)),LEFT(Y71,FIND("-",Y71)-1)),'Brown tagset'!$A:$A,0))</f>
        <v>do</v>
      </c>
      <c r="AA71" s="7"/>
      <c r="AB71" s="7" t="str">
        <f>INDEX('Brown-Universal mapping'!$B:$B,MATCH(Y71,'Brown-Universal mapping'!$A:$A,0))</f>
        <v>VERB</v>
      </c>
      <c r="AC71" s="7">
        <f t="shared" si="4"/>
        <v>1</v>
      </c>
      <c r="AD71" s="7">
        <f t="shared" si="5"/>
        <v>1</v>
      </c>
      <c r="AF71" s="9" t="s">
        <v>20</v>
      </c>
      <c r="AG71" s="9" t="str">
        <f>INDEX('Brown tagset'!$B:$B,MATCH(IF(ISERROR(FIND("-",AF71)),IF(ISERROR(FIND("+",AF71)),AF71,LEFT(AF71,FIND("+",AF71)-1)),LEFT(AF71,FIND("-",AF71)-1)),'Brown tagset'!$A:$A,0))</f>
        <v>do</v>
      </c>
      <c r="AH71" s="9" t="s">
        <v>2</v>
      </c>
      <c r="AI71" s="9" t="str">
        <f>INDEX('Brown-Universal mapping'!$B:$B,MATCH(AF71,'Brown-Universal mapping'!$A:$A,0))</f>
        <v>VERB</v>
      </c>
      <c r="AJ71" s="9">
        <f t="shared" si="6"/>
        <v>1</v>
      </c>
      <c r="AK71" s="9">
        <f t="shared" si="7"/>
        <v>1</v>
      </c>
      <c r="AM71" s="6">
        <f t="shared" si="8"/>
        <v>3</v>
      </c>
      <c r="AN71" s="6">
        <f t="shared" si="9"/>
        <v>3</v>
      </c>
      <c r="AP71" s="6" t="str">
        <f t="shared" si="10"/>
        <v>do3</v>
      </c>
    </row>
    <row r="72" spans="1:42" x14ac:dyDescent="0.25">
      <c r="A72" s="29" t="s">
        <v>78</v>
      </c>
      <c r="B72" s="29"/>
      <c r="D72" s="3" t="s">
        <v>59</v>
      </c>
      <c r="E72" s="3" t="str">
        <f>INDEX('Brown tagset'!$B:$B,MATCH(IF(ISERROR(FIND("-",D72)),IF(ISERROR(FIND("+",D72)),D72,LEFT(D72,FIND("+",D72)-1)),LEFT(D72,FIND("-",D72)-1)),'Brown tagset'!$A:$A,0))</f>
        <v>preposition</v>
      </c>
      <c r="F72" s="3"/>
      <c r="G72" s="3" t="str">
        <f>INDEX('Brown-Universal mapping'!$B:$B,MATCH(D72,'Brown-Universal mapping'!$A:$A,0))</f>
        <v>ADP</v>
      </c>
      <c r="I72" s="5" t="s">
        <v>59</v>
      </c>
      <c r="J72" s="5" t="str">
        <f>INDEX('Brown tagset'!$B:$B,MATCH(IF(ISERROR(FIND("-",I72)),IF(ISERROR(FIND("+",I72)),I72,LEFT(I72,FIND("+",I72)-1)),LEFT(I72,FIND("-",I72)-1)),'Brown tagset'!$A:$A,0))</f>
        <v>preposition</v>
      </c>
      <c r="K72" s="5" t="s">
        <v>60</v>
      </c>
      <c r="L72" s="5" t="str">
        <f>INDEX('Brown-Universal mapping'!$B:$B,MATCH(I72,'Brown-Universal mapping'!$A:$A,0))</f>
        <v>ADP</v>
      </c>
      <c r="M72" s="5">
        <f t="shared" si="0"/>
        <v>1</v>
      </c>
      <c r="N72" s="5">
        <f t="shared" si="1"/>
        <v>1</v>
      </c>
      <c r="P72" s="12" t="s">
        <v>78</v>
      </c>
      <c r="Q72" s="7" t="s">
        <v>124</v>
      </c>
      <c r="R72" s="7" t="str">
        <f>INDEX('Brown tagset'!$B:$B,MATCH(IF(ISERROR(FIND("-",Q72)),IF(ISERROR(FIND("+",Q72)),Q72,LEFT(Q72,FIND("+",Q72)-1)),LEFT(Q72,FIND("-",Q72)-1)),'Brown tagset'!$A:$A,0))</f>
        <v>preposition</v>
      </c>
      <c r="S72" s="7"/>
      <c r="T72" s="7" t="str">
        <f>INDEX('Brown-Universal mapping'!$B:$B,MATCH(Q72,'Brown-Universal mapping'!$A:$A,0))</f>
        <v>ADP</v>
      </c>
      <c r="U72" s="7">
        <f t="shared" si="2"/>
        <v>1</v>
      </c>
      <c r="V72" s="7">
        <f t="shared" si="3"/>
        <v>1</v>
      </c>
      <c r="X72" s="12" t="s">
        <v>78</v>
      </c>
      <c r="Y72" s="7" t="s">
        <v>124</v>
      </c>
      <c r="Z72" s="7" t="str">
        <f>INDEX('Brown tagset'!$B:$B,MATCH(IF(ISERROR(FIND("-",Y72)),IF(ISERROR(FIND("+",Y72)),Y72,LEFT(Y72,FIND("+",Y72)-1)),LEFT(Y72,FIND("-",Y72)-1)),'Brown tagset'!$A:$A,0))</f>
        <v>preposition</v>
      </c>
      <c r="AA72" s="7"/>
      <c r="AB72" s="7" t="str">
        <f>INDEX('Brown-Universal mapping'!$B:$B,MATCH(Y72,'Brown-Universal mapping'!$A:$A,0))</f>
        <v>ADP</v>
      </c>
      <c r="AC72" s="7">
        <f t="shared" si="4"/>
        <v>1</v>
      </c>
      <c r="AD72" s="7">
        <f t="shared" si="5"/>
        <v>1</v>
      </c>
      <c r="AF72" s="9" t="s">
        <v>59</v>
      </c>
      <c r="AG72" s="9" t="str">
        <f>INDEX('Brown tagset'!$B:$B,MATCH(IF(ISERROR(FIND("-",AF72)),IF(ISERROR(FIND("+",AF72)),AF72,LEFT(AF72,FIND("+",AF72)-1)),LEFT(AF72,FIND("-",AF72)-1)),'Brown tagset'!$A:$A,0))</f>
        <v>preposition</v>
      </c>
      <c r="AH72" s="9" t="s">
        <v>60</v>
      </c>
      <c r="AI72" s="9" t="str">
        <f>INDEX('Brown-Universal mapping'!$B:$B,MATCH(AF72,'Brown-Universal mapping'!$A:$A,0))</f>
        <v>ADP</v>
      </c>
      <c r="AJ72" s="9">
        <f t="shared" si="6"/>
        <v>1</v>
      </c>
      <c r="AK72" s="9">
        <f t="shared" si="7"/>
        <v>1</v>
      </c>
      <c r="AM72" s="6">
        <f t="shared" si="8"/>
        <v>3</v>
      </c>
      <c r="AN72" s="6">
        <f t="shared" si="9"/>
        <v>3</v>
      </c>
      <c r="AP72" s="6" t="str">
        <f t="shared" si="10"/>
        <v>preposition3</v>
      </c>
    </row>
    <row r="73" spans="1:42" x14ac:dyDescent="0.25">
      <c r="A73" s="29" t="s">
        <v>40</v>
      </c>
      <c r="B73" s="29"/>
      <c r="D73" s="3" t="s">
        <v>41</v>
      </c>
      <c r="E73" s="3" t="str">
        <f>INDEX('Brown tagset'!$B:$B,MATCH(IF(ISERROR(FIND("-",D73)),IF(ISERROR(FIND("+",D73)),D73,LEFT(D73,FIND("+",D73)-1)),LEFT(D73,FIND("-",D73)-1)),'Brown tagset'!$A:$A,0))</f>
        <v>pre-quantifier (half, all)</v>
      </c>
      <c r="F73" s="3"/>
      <c r="G73" s="3" t="str">
        <f>INDEX('Brown-Universal mapping'!$B:$B,MATCH(D73,'Brown-Universal mapping'!$A:$A,0))</f>
        <v>PRT</v>
      </c>
      <c r="I73" s="5" t="s">
        <v>41</v>
      </c>
      <c r="J73" s="5" t="str">
        <f>INDEX('Brown tagset'!$B:$B,MATCH(IF(ISERROR(FIND("-",I73)),IF(ISERROR(FIND("+",I73)),I73,LEFT(I73,FIND("+",I73)-1)),LEFT(I73,FIND("-",I73)-1)),'Brown tagset'!$A:$A,0))</f>
        <v>pre-quantifier (half, all)</v>
      </c>
      <c r="K73" s="5" t="s">
        <v>2</v>
      </c>
      <c r="L73" s="5" t="str">
        <f>INDEX('Brown-Universal mapping'!$B:$B,MATCH(I73,'Brown-Universal mapping'!$A:$A,0))</f>
        <v>PRT</v>
      </c>
      <c r="M73" s="5">
        <f t="shared" si="0"/>
        <v>1</v>
      </c>
      <c r="N73" s="5">
        <f t="shared" si="1"/>
        <v>1</v>
      </c>
      <c r="P73" s="12" t="s">
        <v>40</v>
      </c>
      <c r="Q73" s="7" t="s">
        <v>297</v>
      </c>
      <c r="R73" s="7" t="str">
        <f>INDEX('Brown tagset'!$B:$B,MATCH(IF(ISERROR(FIND("-",Q73)),IF(ISERROR(FIND("+",Q73)),Q73,LEFT(Q73,FIND("+",Q73)-1)),LEFT(Q73,FIND("-",Q73)-1)),'Brown tagset'!$A:$A,0))</f>
        <v>pre-quantifier (half, all)</v>
      </c>
      <c r="S73" s="7"/>
      <c r="T73" s="7" t="str">
        <f>INDEX('Brown-Universal mapping'!$B:$B,MATCH(Q73,'Brown-Universal mapping'!$A:$A,0))</f>
        <v>PRT</v>
      </c>
      <c r="U73" s="7">
        <f t="shared" si="2"/>
        <v>1</v>
      </c>
      <c r="V73" s="7">
        <f t="shared" si="3"/>
        <v>1</v>
      </c>
      <c r="X73" s="12" t="s">
        <v>40</v>
      </c>
      <c r="Y73" s="7" t="s">
        <v>297</v>
      </c>
      <c r="Z73" s="7" t="str">
        <f>INDEX('Brown tagset'!$B:$B,MATCH(IF(ISERROR(FIND("-",Y73)),IF(ISERROR(FIND("+",Y73)),Y73,LEFT(Y73,FIND("+",Y73)-1)),LEFT(Y73,FIND("-",Y73)-1)),'Brown tagset'!$A:$A,0))</f>
        <v>pre-quantifier (half, all)</v>
      </c>
      <c r="AA73" s="7"/>
      <c r="AB73" s="7" t="str">
        <f>INDEX('Brown-Universal mapping'!$B:$B,MATCH(Y73,'Brown-Universal mapping'!$A:$A,0))</f>
        <v>PRT</v>
      </c>
      <c r="AC73" s="7">
        <f t="shared" si="4"/>
        <v>1</v>
      </c>
      <c r="AD73" s="7">
        <f t="shared" si="5"/>
        <v>1</v>
      </c>
      <c r="AF73" s="9" t="s">
        <v>41</v>
      </c>
      <c r="AG73" s="9" t="str">
        <f>INDEX('Brown tagset'!$B:$B,MATCH(IF(ISERROR(FIND("-",AF73)),IF(ISERROR(FIND("+",AF73)),AF73,LEFT(AF73,FIND("+",AF73)-1)),LEFT(AF73,FIND("-",AF73)-1)),'Brown tagset'!$A:$A,0))</f>
        <v>pre-quantifier (half, all)</v>
      </c>
      <c r="AH73" s="9" t="s">
        <v>2</v>
      </c>
      <c r="AI73" s="9" t="str">
        <f>INDEX('Brown-Universal mapping'!$B:$B,MATCH(AF73,'Brown-Universal mapping'!$A:$A,0))</f>
        <v>PRT</v>
      </c>
      <c r="AJ73" s="9">
        <f t="shared" si="6"/>
        <v>1</v>
      </c>
      <c r="AK73" s="9">
        <f t="shared" si="7"/>
        <v>1</v>
      </c>
      <c r="AM73" s="6">
        <f t="shared" si="8"/>
        <v>3</v>
      </c>
      <c r="AN73" s="6">
        <f t="shared" si="9"/>
        <v>3</v>
      </c>
      <c r="AP73" s="6" t="str">
        <f t="shared" si="10"/>
        <v>pre-quantifier (half, all)3</v>
      </c>
    </row>
    <row r="74" spans="1:42" x14ac:dyDescent="0.25">
      <c r="A74" s="29" t="s">
        <v>42</v>
      </c>
      <c r="B74" s="29"/>
      <c r="D74" s="3" t="s">
        <v>43</v>
      </c>
      <c r="E74" s="3" t="str">
        <f>INDEX('Brown tagset'!$B:$B,MATCH(IF(ISERROR(FIND("-",D74)),IF(ISERROR(FIND("+",D74)),D74,LEFT(D74,FIND("+",D74)-1)),LEFT(D74,FIND("-",D74)-1)),'Brown tagset'!$A:$A,0))</f>
        <v>plural determiner (these, those)</v>
      </c>
      <c r="F74" s="3"/>
      <c r="G74" s="3" t="str">
        <f>INDEX('Brown-Universal mapping'!$B:$B,MATCH(D74,'Brown-Universal mapping'!$A:$A,0))</f>
        <v>DET</v>
      </c>
      <c r="I74" s="5" t="s">
        <v>43</v>
      </c>
      <c r="J74" s="5" t="str">
        <f>INDEX('Brown tagset'!$B:$B,MATCH(IF(ISERROR(FIND("-",I74)),IF(ISERROR(FIND("+",I74)),I74,LEFT(I74,FIND("+",I74)-1)),LEFT(I74,FIND("-",I74)-1)),'Brown tagset'!$A:$A,0))</f>
        <v>plural determiner (these, those)</v>
      </c>
      <c r="K74" s="5" t="s">
        <v>2</v>
      </c>
      <c r="L74" s="5" t="str">
        <f>INDEX('Brown-Universal mapping'!$B:$B,MATCH(I74,'Brown-Universal mapping'!$A:$A,0))</f>
        <v>DET</v>
      </c>
      <c r="M74" s="5">
        <f t="shared" si="0"/>
        <v>1</v>
      </c>
      <c r="N74" s="5">
        <f t="shared" si="1"/>
        <v>1</v>
      </c>
      <c r="P74" s="12" t="s">
        <v>42</v>
      </c>
      <c r="Q74" s="7" t="s">
        <v>298</v>
      </c>
      <c r="R74" s="7" t="str">
        <f>INDEX('Brown tagset'!$B:$B,MATCH(IF(ISERROR(FIND("-",Q74)),IF(ISERROR(FIND("+",Q74)),Q74,LEFT(Q74,FIND("+",Q74)-1)),LEFT(Q74,FIND("-",Q74)-1)),'Brown tagset'!$A:$A,0))</f>
        <v>plural determiner (these, those)</v>
      </c>
      <c r="S74" s="7"/>
      <c r="T74" s="7" t="str">
        <f>INDEX('Brown-Universal mapping'!$B:$B,MATCH(Q74,'Brown-Universal mapping'!$A:$A,0))</f>
        <v>DET</v>
      </c>
      <c r="U74" s="7">
        <f t="shared" si="2"/>
        <v>1</v>
      </c>
      <c r="V74" s="7">
        <f t="shared" si="3"/>
        <v>1</v>
      </c>
      <c r="X74" s="12" t="s">
        <v>42</v>
      </c>
      <c r="Y74" s="7" t="s">
        <v>298</v>
      </c>
      <c r="Z74" s="7" t="str">
        <f>INDEX('Brown tagset'!$B:$B,MATCH(IF(ISERROR(FIND("-",Y74)),IF(ISERROR(FIND("+",Y74)),Y74,LEFT(Y74,FIND("+",Y74)-1)),LEFT(Y74,FIND("-",Y74)-1)),'Brown tagset'!$A:$A,0))</f>
        <v>plural determiner (these, those)</v>
      </c>
      <c r="AA74" s="7"/>
      <c r="AB74" s="7" t="str">
        <f>INDEX('Brown-Universal mapping'!$B:$B,MATCH(Y74,'Brown-Universal mapping'!$A:$A,0))</f>
        <v>DET</v>
      </c>
      <c r="AC74" s="7">
        <f t="shared" si="4"/>
        <v>1</v>
      </c>
      <c r="AD74" s="7">
        <f t="shared" si="5"/>
        <v>1</v>
      </c>
      <c r="AF74" s="9" t="s">
        <v>43</v>
      </c>
      <c r="AG74" s="9" t="str">
        <f>INDEX('Brown tagset'!$B:$B,MATCH(IF(ISERROR(FIND("-",AF74)),IF(ISERROR(FIND("+",AF74)),AF74,LEFT(AF74,FIND("+",AF74)-1)),LEFT(AF74,FIND("-",AF74)-1)),'Brown tagset'!$A:$A,0))</f>
        <v>plural determiner (these, those)</v>
      </c>
      <c r="AH74" s="9" t="s">
        <v>2</v>
      </c>
      <c r="AI74" s="9" t="str">
        <f>INDEX('Brown-Universal mapping'!$B:$B,MATCH(AF74,'Brown-Universal mapping'!$A:$A,0))</f>
        <v>DET</v>
      </c>
      <c r="AJ74" s="9">
        <f t="shared" si="6"/>
        <v>1</v>
      </c>
      <c r="AK74" s="9">
        <f t="shared" si="7"/>
        <v>1</v>
      </c>
      <c r="AM74" s="6">
        <f t="shared" si="8"/>
        <v>3</v>
      </c>
      <c r="AN74" s="6">
        <f t="shared" si="9"/>
        <v>3</v>
      </c>
      <c r="AP74" s="6" t="str">
        <f t="shared" si="10"/>
        <v>plural determiner (these, those)3</v>
      </c>
    </row>
    <row r="75" spans="1:42" x14ac:dyDescent="0.25">
      <c r="A75" s="29" t="s">
        <v>79</v>
      </c>
      <c r="B75" s="29"/>
      <c r="D75" s="3" t="s">
        <v>31</v>
      </c>
      <c r="E75" s="3" t="str">
        <f>INDEX('Brown tagset'!$B:$B,MATCH(IF(ISERROR(FIND("-",D75)),IF(ISERROR(FIND("+",D75)),D75,LEFT(D75,FIND("+",D75)-1)),LEFT(D75,FIND("-",D75)-1)),'Brown tagset'!$A:$A,0))</f>
        <v>plural noun</v>
      </c>
      <c r="F75" s="3"/>
      <c r="G75" s="3" t="str">
        <f>INDEX('Brown-Universal mapping'!$B:$B,MATCH(D75,'Brown-Universal mapping'!$A:$A,0))</f>
        <v>NOUN</v>
      </c>
      <c r="I75" s="5" t="s">
        <v>31</v>
      </c>
      <c r="J75" s="5" t="str">
        <f>INDEX('Brown tagset'!$B:$B,MATCH(IF(ISERROR(FIND("-",I75)),IF(ISERROR(FIND("+",I75)),I75,LEFT(I75,FIND("+",I75)-1)),LEFT(I75,FIND("-",I75)-1)),'Brown tagset'!$A:$A,0))</f>
        <v>plural noun</v>
      </c>
      <c r="K75" s="5" t="s">
        <v>13</v>
      </c>
      <c r="L75" s="5" t="str">
        <f>INDEX('Brown-Universal mapping'!$B:$B,MATCH(I75,'Brown-Universal mapping'!$A:$A,0))</f>
        <v>NOUN</v>
      </c>
      <c r="M75" s="5">
        <f t="shared" si="0"/>
        <v>1</v>
      </c>
      <c r="N75" s="5">
        <f t="shared" si="1"/>
        <v>1</v>
      </c>
      <c r="P75" s="12" t="s">
        <v>79</v>
      </c>
      <c r="Q75" s="7" t="s">
        <v>295</v>
      </c>
      <c r="R75" s="7" t="str">
        <f>INDEX('Brown tagset'!$B:$B,MATCH(IF(ISERROR(FIND("-",Q75)),IF(ISERROR(FIND("+",Q75)),Q75,LEFT(Q75,FIND("+",Q75)-1)),LEFT(Q75,FIND("-",Q75)-1)),'Brown tagset'!$A:$A,0))</f>
        <v>plural noun</v>
      </c>
      <c r="S75" s="7"/>
      <c r="T75" s="7" t="str">
        <f>INDEX('Brown-Universal mapping'!$B:$B,MATCH(Q75,'Brown-Universal mapping'!$A:$A,0))</f>
        <v>NOUN</v>
      </c>
      <c r="U75" s="7">
        <f t="shared" si="2"/>
        <v>1</v>
      </c>
      <c r="V75" s="7">
        <f t="shared" si="3"/>
        <v>1</v>
      </c>
      <c r="X75" s="12" t="s">
        <v>79</v>
      </c>
      <c r="Y75" s="7" t="s">
        <v>295</v>
      </c>
      <c r="Z75" s="7" t="str">
        <f>INDEX('Brown tagset'!$B:$B,MATCH(IF(ISERROR(FIND("-",Y75)),IF(ISERROR(FIND("+",Y75)),Y75,LEFT(Y75,FIND("+",Y75)-1)),LEFT(Y75,FIND("-",Y75)-1)),'Brown tagset'!$A:$A,0))</f>
        <v>plural noun</v>
      </c>
      <c r="AA75" s="7"/>
      <c r="AB75" s="7" t="str">
        <f>INDEX('Brown-Universal mapping'!$B:$B,MATCH(Y75,'Brown-Universal mapping'!$A:$A,0))</f>
        <v>NOUN</v>
      </c>
      <c r="AC75" s="7">
        <f t="shared" si="4"/>
        <v>1</v>
      </c>
      <c r="AD75" s="7">
        <f t="shared" si="5"/>
        <v>1</v>
      </c>
      <c r="AF75" s="9" t="s">
        <v>31</v>
      </c>
      <c r="AG75" s="9" t="str">
        <f>INDEX('Brown tagset'!$B:$B,MATCH(IF(ISERROR(FIND("-",AF75)),IF(ISERROR(FIND("+",AF75)),AF75,LEFT(AF75,FIND("+",AF75)-1)),LEFT(AF75,FIND("-",AF75)-1)),'Brown tagset'!$A:$A,0))</f>
        <v>plural noun</v>
      </c>
      <c r="AH75" s="9" t="s">
        <v>13</v>
      </c>
      <c r="AI75" s="9" t="str">
        <f>INDEX('Brown-Universal mapping'!$B:$B,MATCH(AF75,'Brown-Universal mapping'!$A:$A,0))</f>
        <v>NOUN</v>
      </c>
      <c r="AJ75" s="9">
        <f t="shared" si="6"/>
        <v>1</v>
      </c>
      <c r="AK75" s="9">
        <f t="shared" si="7"/>
        <v>1</v>
      </c>
      <c r="AM75" s="6">
        <f t="shared" si="8"/>
        <v>3</v>
      </c>
      <c r="AN75" s="6">
        <f t="shared" si="9"/>
        <v>3</v>
      </c>
      <c r="AP75" s="6" t="str">
        <f t="shared" si="10"/>
        <v>plural noun3</v>
      </c>
    </row>
    <row r="76" spans="1:42" x14ac:dyDescent="0.25">
      <c r="A76" s="29" t="s">
        <v>80</v>
      </c>
      <c r="B76" s="29"/>
      <c r="D76" s="3" t="s">
        <v>80</v>
      </c>
      <c r="E76" s="3" t="str">
        <f>INDEX('Brown tagset'!$B:$B,MATCH(IF(ISERROR(FIND("-",D76)),IF(ISERROR(FIND("+",D76)),D76,LEFT(D76,FIND("+",D76)-1)),LEFT(D76,FIND("-",D76)-1)),'Brown tagset'!$A:$A,0))</f>
        <v>left paren</v>
      </c>
      <c r="F76" s="3"/>
      <c r="G76" s="3" t="str">
        <f>INDEX('Brown-Universal mapping'!$B:$B,MATCH(D76,'Brown-Universal mapping'!$A:$A,0))</f>
        <v>.</v>
      </c>
      <c r="I76" s="5" t="s">
        <v>80</v>
      </c>
      <c r="J76" s="5" t="str">
        <f>INDEX('Brown tagset'!$B:$B,MATCH(IF(ISERROR(FIND("-",I76)),IF(ISERROR(FIND("+",I76)),I76,LEFT(I76,FIND("+",I76)-1)),LEFT(I76,FIND("-",I76)-1)),'Brown tagset'!$A:$A,0))</f>
        <v>left paren</v>
      </c>
      <c r="K76" s="5" t="s">
        <v>38</v>
      </c>
      <c r="L76" s="5" t="str">
        <f>INDEX('Brown-Universal mapping'!$B:$B,MATCH(I76,'Brown-Universal mapping'!$A:$A,0))</f>
        <v>.</v>
      </c>
      <c r="M76" s="5">
        <f t="shared" si="0"/>
        <v>1</v>
      </c>
      <c r="N76" s="5">
        <f t="shared" si="1"/>
        <v>1</v>
      </c>
      <c r="P76" s="12" t="s">
        <v>304</v>
      </c>
      <c r="Q76" s="7" t="s">
        <v>305</v>
      </c>
      <c r="R76" s="7" t="str">
        <f>INDEX('Brown tagset'!$B:$B,MATCH(IF(ISERROR(FIND("-",Q76)),IF(ISERROR(FIND("+",Q76)),Q76,LEFT(Q76,FIND("+",Q76)-1)),LEFT(Q76,FIND("-",Q76)-1)),'Brown tagset'!$A:$A,0))</f>
        <v>cardinal numeral (one, two, 2, etc.)</v>
      </c>
      <c r="S76" s="7"/>
      <c r="T76" s="7" t="str">
        <f>INDEX('Brown-Universal mapping'!$B:$B,MATCH(Q76,'Brown-Universal mapping'!$A:$A,0))</f>
        <v>NUM</v>
      </c>
      <c r="U76" s="7">
        <f t="shared" si="2"/>
        <v>0</v>
      </c>
      <c r="V76" s="7">
        <f t="shared" si="3"/>
        <v>0</v>
      </c>
      <c r="X76" s="12" t="s">
        <v>80</v>
      </c>
      <c r="Y76" s="7" t="s">
        <v>80</v>
      </c>
      <c r="Z76" s="7" t="str">
        <f>INDEX('Brown tagset'!$B:$B,MATCH(IF(ISERROR(FIND("-",Y76)),IF(ISERROR(FIND("+",Y76)),Y76,LEFT(Y76,FIND("+",Y76)-1)),LEFT(Y76,FIND("-",Y76)-1)),'Brown tagset'!$A:$A,0))</f>
        <v>left paren</v>
      </c>
      <c r="AA76" s="7"/>
      <c r="AB76" s="7" t="str">
        <f>INDEX('Brown-Universal mapping'!$B:$B,MATCH(Y76,'Brown-Universal mapping'!$A:$A,0))</f>
        <v>.</v>
      </c>
      <c r="AC76" s="7">
        <f t="shared" si="4"/>
        <v>1</v>
      </c>
      <c r="AD76" s="7">
        <f t="shared" si="5"/>
        <v>1</v>
      </c>
      <c r="AF76" s="9" t="s">
        <v>80</v>
      </c>
      <c r="AG76" s="9" t="str">
        <f>INDEX('Brown tagset'!$B:$B,MATCH(IF(ISERROR(FIND("-",AF76)),IF(ISERROR(FIND("+",AF76)),AF76,LEFT(AF76,FIND("+",AF76)-1)),LEFT(AF76,FIND("-",AF76)-1)),'Brown tagset'!$A:$A,0))</f>
        <v>left paren</v>
      </c>
      <c r="AH76" s="9" t="s">
        <v>38</v>
      </c>
      <c r="AI76" s="9" t="str">
        <f>INDEX('Brown-Universal mapping'!$B:$B,MATCH(AF76,'Brown-Universal mapping'!$A:$A,0))</f>
        <v>.</v>
      </c>
      <c r="AJ76" s="9">
        <f t="shared" si="6"/>
        <v>1</v>
      </c>
      <c r="AK76" s="9">
        <f t="shared" si="7"/>
        <v>1</v>
      </c>
      <c r="AM76" s="6">
        <f t="shared" si="8"/>
        <v>3</v>
      </c>
      <c r="AN76" s="6">
        <f t="shared" si="9"/>
        <v>3</v>
      </c>
      <c r="AP76" s="6" t="str">
        <f t="shared" si="10"/>
        <v>left paren3</v>
      </c>
    </row>
    <row r="77" spans="1:42" x14ac:dyDescent="0.25">
      <c r="A77" s="29" t="s">
        <v>81</v>
      </c>
      <c r="B77" s="29"/>
      <c r="D77" s="3" t="s">
        <v>59</v>
      </c>
      <c r="E77" s="3" t="str">
        <f>INDEX('Brown tagset'!$B:$B,MATCH(IF(ISERROR(FIND("-",D77)),IF(ISERROR(FIND("+",D77)),D77,LEFT(D77,FIND("+",D77)-1)),LEFT(D77,FIND("-",D77)-1)),'Brown tagset'!$A:$A,0))</f>
        <v>preposition</v>
      </c>
      <c r="F77" s="3"/>
      <c r="G77" s="3" t="str">
        <f>INDEX('Brown-Universal mapping'!$B:$B,MATCH(D77,'Brown-Universal mapping'!$A:$A,0))</f>
        <v>ADP</v>
      </c>
      <c r="I77" s="5" t="s">
        <v>59</v>
      </c>
      <c r="J77" s="5" t="str">
        <f>INDEX('Brown tagset'!$B:$B,MATCH(IF(ISERROR(FIND("-",I77)),IF(ISERROR(FIND("+",I77)),I77,LEFT(I77,FIND("+",I77)-1)),LEFT(I77,FIND("-",I77)-1)),'Brown tagset'!$A:$A,0))</f>
        <v>preposition</v>
      </c>
      <c r="K77" s="5" t="s">
        <v>60</v>
      </c>
      <c r="L77" s="5" t="str">
        <f>INDEX('Brown-Universal mapping'!$B:$B,MATCH(I77,'Brown-Universal mapping'!$A:$A,0))</f>
        <v>ADP</v>
      </c>
      <c r="M77" s="5">
        <f t="shared" si="0"/>
        <v>1</v>
      </c>
      <c r="N77" s="5">
        <f t="shared" si="1"/>
        <v>1</v>
      </c>
      <c r="P77" s="12" t="s">
        <v>81</v>
      </c>
      <c r="Q77" s="7" t="s">
        <v>124</v>
      </c>
      <c r="R77" s="7" t="str">
        <f>INDEX('Brown tagset'!$B:$B,MATCH(IF(ISERROR(FIND("-",Q77)),IF(ISERROR(FIND("+",Q77)),Q77,LEFT(Q77,FIND("+",Q77)-1)),LEFT(Q77,FIND("-",Q77)-1)),'Brown tagset'!$A:$A,0))</f>
        <v>preposition</v>
      </c>
      <c r="S77" s="7"/>
      <c r="T77" s="7" t="str">
        <f>INDEX('Brown-Universal mapping'!$B:$B,MATCH(Q77,'Brown-Universal mapping'!$A:$A,0))</f>
        <v>ADP</v>
      </c>
      <c r="U77" s="7">
        <f t="shared" si="2"/>
        <v>1</v>
      </c>
      <c r="V77" s="7">
        <f t="shared" si="3"/>
        <v>1</v>
      </c>
      <c r="X77" s="12" t="s">
        <v>81</v>
      </c>
      <c r="Y77" s="7" t="s">
        <v>124</v>
      </c>
      <c r="Z77" s="7" t="str">
        <f>INDEX('Brown tagset'!$B:$B,MATCH(IF(ISERROR(FIND("-",Y77)),IF(ISERROR(FIND("+",Y77)),Y77,LEFT(Y77,FIND("+",Y77)-1)),LEFT(Y77,FIND("-",Y77)-1)),'Brown tagset'!$A:$A,0))</f>
        <v>preposition</v>
      </c>
      <c r="AA77" s="7"/>
      <c r="AB77" s="7" t="str">
        <f>INDEX('Brown-Universal mapping'!$B:$B,MATCH(Y77,'Brown-Universal mapping'!$A:$A,0))</f>
        <v>ADP</v>
      </c>
      <c r="AC77" s="7">
        <f t="shared" si="4"/>
        <v>1</v>
      </c>
      <c r="AD77" s="7">
        <f t="shared" si="5"/>
        <v>1</v>
      </c>
      <c r="AF77" s="9" t="s">
        <v>59</v>
      </c>
      <c r="AG77" s="9" t="str">
        <f>INDEX('Brown tagset'!$B:$B,MATCH(IF(ISERROR(FIND("-",AF77)),IF(ISERROR(FIND("+",AF77)),AF77,LEFT(AF77,FIND("+",AF77)-1)),LEFT(AF77,FIND("-",AF77)-1)),'Brown tagset'!$A:$A,0))</f>
        <v>preposition</v>
      </c>
      <c r="AH77" s="9" t="s">
        <v>60</v>
      </c>
      <c r="AI77" s="9" t="str">
        <f>INDEX('Brown-Universal mapping'!$B:$B,MATCH(AF77,'Brown-Universal mapping'!$A:$A,0))</f>
        <v>ADP</v>
      </c>
      <c r="AJ77" s="9">
        <f t="shared" si="6"/>
        <v>1</v>
      </c>
      <c r="AK77" s="9">
        <f t="shared" si="7"/>
        <v>1</v>
      </c>
      <c r="AM77" s="6">
        <f t="shared" si="8"/>
        <v>3</v>
      </c>
      <c r="AN77" s="6">
        <f t="shared" si="9"/>
        <v>3</v>
      </c>
      <c r="AP77" s="6" t="str">
        <f t="shared" si="10"/>
        <v>preposition3</v>
      </c>
    </row>
    <row r="78" spans="1:42" x14ac:dyDescent="0.25">
      <c r="A78" s="29" t="s">
        <v>82</v>
      </c>
      <c r="B78" s="29"/>
      <c r="D78" s="3" t="s">
        <v>83</v>
      </c>
      <c r="E78" s="3" t="str">
        <f>INDEX('Brown tagset'!$B:$B,MATCH(IF(ISERROR(FIND("-",D78)),IF(ISERROR(FIND("+",D78)),D78,LEFT(D78,FIND("+",D78)-1)),LEFT(D78,FIND("-",D78)-1)),'Brown tagset'!$A:$A,0))</f>
        <v>wh- determiner (what, which)</v>
      </c>
      <c r="F78" s="3"/>
      <c r="G78" s="3" t="str">
        <f>INDEX('Brown-Universal mapping'!$B:$B,MATCH(D78,'Brown-Universal mapping'!$A:$A,0))</f>
        <v>DET</v>
      </c>
      <c r="I78" s="5" t="s">
        <v>83</v>
      </c>
      <c r="J78" s="5" t="str">
        <f>INDEX('Brown tagset'!$B:$B,MATCH(IF(ISERROR(FIND("-",I78)),IF(ISERROR(FIND("+",I78)),I78,LEFT(I78,FIND("+",I78)-1)),LEFT(I78,FIND("-",I78)-1)),'Brown tagset'!$A:$A,0))</f>
        <v>wh- determiner (what, which)</v>
      </c>
      <c r="K78" s="5" t="s">
        <v>84</v>
      </c>
      <c r="L78" s="5" t="str">
        <f>INDEX('Brown-Universal mapping'!$B:$B,MATCH(I78,'Brown-Universal mapping'!$A:$A,0))</f>
        <v>DET</v>
      </c>
      <c r="M78" s="5">
        <f t="shared" si="0"/>
        <v>1</v>
      </c>
      <c r="N78" s="5">
        <f t="shared" si="1"/>
        <v>1</v>
      </c>
      <c r="P78" s="12" t="s">
        <v>82</v>
      </c>
      <c r="Q78" s="7" t="s">
        <v>306</v>
      </c>
      <c r="R78" s="7" t="str">
        <f>INDEX('Brown tagset'!$B:$B,MATCH(IF(ISERROR(FIND("-",Q78)),IF(ISERROR(FIND("+",Q78)),Q78,LEFT(Q78,FIND("+",Q78)-1)),LEFT(Q78,FIND("-",Q78)-1)),'Brown tagset'!$A:$A,0))</f>
        <v>wh- determiner (what, which)</v>
      </c>
      <c r="S78" s="7"/>
      <c r="T78" s="7" t="str">
        <f>INDEX('Brown-Universal mapping'!$B:$B,MATCH(Q78,'Brown-Universal mapping'!$A:$A,0))</f>
        <v>DET</v>
      </c>
      <c r="U78" s="7">
        <f t="shared" si="2"/>
        <v>1</v>
      </c>
      <c r="V78" s="7">
        <f t="shared" si="3"/>
        <v>1</v>
      </c>
      <c r="X78" s="12" t="s">
        <v>82</v>
      </c>
      <c r="Y78" s="7" t="s">
        <v>306</v>
      </c>
      <c r="Z78" s="7" t="str">
        <f>INDEX('Brown tagset'!$B:$B,MATCH(IF(ISERROR(FIND("-",Y78)),IF(ISERROR(FIND("+",Y78)),Y78,LEFT(Y78,FIND("+",Y78)-1)),LEFT(Y78,FIND("-",Y78)-1)),'Brown tagset'!$A:$A,0))</f>
        <v>wh- determiner (what, which)</v>
      </c>
      <c r="AA78" s="7"/>
      <c r="AB78" s="7" t="str">
        <f>INDEX('Brown-Universal mapping'!$B:$B,MATCH(Y78,'Brown-Universal mapping'!$A:$A,0))</f>
        <v>DET</v>
      </c>
      <c r="AC78" s="7">
        <f t="shared" si="4"/>
        <v>1</v>
      </c>
      <c r="AD78" s="7">
        <f t="shared" si="5"/>
        <v>1</v>
      </c>
      <c r="AF78" s="9" t="s">
        <v>83</v>
      </c>
      <c r="AG78" s="9" t="str">
        <f>INDEX('Brown tagset'!$B:$B,MATCH(IF(ISERROR(FIND("-",AF78)),IF(ISERROR(FIND("+",AF78)),AF78,LEFT(AF78,FIND("+",AF78)-1)),LEFT(AF78,FIND("-",AF78)-1)),'Brown tagset'!$A:$A,0))</f>
        <v>wh- determiner (what, which)</v>
      </c>
      <c r="AH78" s="9" t="s">
        <v>84</v>
      </c>
      <c r="AI78" s="9" t="str">
        <f>INDEX('Brown-Universal mapping'!$B:$B,MATCH(AF78,'Brown-Universal mapping'!$A:$A,0))</f>
        <v>DET</v>
      </c>
      <c r="AJ78" s="9">
        <f t="shared" si="6"/>
        <v>1</v>
      </c>
      <c r="AK78" s="9">
        <f t="shared" si="7"/>
        <v>1</v>
      </c>
      <c r="AM78" s="6">
        <f t="shared" si="8"/>
        <v>3</v>
      </c>
      <c r="AN78" s="6">
        <f t="shared" si="9"/>
        <v>3</v>
      </c>
      <c r="AP78" s="6" t="str">
        <f t="shared" si="10"/>
        <v>wh- determiner (what, which)3</v>
      </c>
    </row>
    <row r="79" spans="1:42" x14ac:dyDescent="0.25">
      <c r="A79" s="29" t="s">
        <v>85</v>
      </c>
      <c r="B79" s="29"/>
      <c r="D79" s="3" t="s">
        <v>86</v>
      </c>
      <c r="E79" s="3" t="str">
        <f>INDEX('Brown tagset'!$B:$B,MATCH(IF(ISERROR(FIND("-",D79)),IF(ISERROR(FIND("+",D79)),D79,LEFT(D79,FIND("+",D79)-1)),LEFT(D79,FIND("-",D79)-1)),'Brown tagset'!$A:$A,0))</f>
        <v>3rd. singular nominative pronoun (he, she, it, one)</v>
      </c>
      <c r="F79" s="3"/>
      <c r="G79" s="3" t="str">
        <f>INDEX('Brown-Universal mapping'!$B:$B,MATCH(D79,'Brown-Universal mapping'!$A:$A,0))</f>
        <v>PRON</v>
      </c>
      <c r="I79" s="5" t="s">
        <v>86</v>
      </c>
      <c r="J79" s="5" t="str">
        <f>INDEX('Brown tagset'!$B:$B,MATCH(IF(ISERROR(FIND("-",I79)),IF(ISERROR(FIND("+",I79)),I79,LEFT(I79,FIND("+",I79)-1)),LEFT(I79,FIND("-",I79)-1)),'Brown tagset'!$A:$A,0))</f>
        <v>3rd. singular nominative pronoun (he, she, it, one)</v>
      </c>
      <c r="K79" s="5" t="s">
        <v>2</v>
      </c>
      <c r="L79" s="5" t="str">
        <f>INDEX('Brown-Universal mapping'!$B:$B,MATCH(I79,'Brown-Universal mapping'!$A:$A,0))</f>
        <v>PRON</v>
      </c>
      <c r="M79" s="5">
        <f t="shared" si="0"/>
        <v>1</v>
      </c>
      <c r="N79" s="5">
        <f t="shared" si="1"/>
        <v>1</v>
      </c>
      <c r="P79" s="12" t="s">
        <v>85</v>
      </c>
      <c r="Q79" s="7" t="s">
        <v>307</v>
      </c>
      <c r="R79" s="7" t="str">
        <f>INDEX('Brown tagset'!$B:$B,MATCH(IF(ISERROR(FIND("-",Q79)),IF(ISERROR(FIND("+",Q79)),Q79,LEFT(Q79,FIND("+",Q79)-1)),LEFT(Q79,FIND("-",Q79)-1)),'Brown tagset'!$A:$A,0))</f>
        <v>3rd. singular nominative pronoun (he, she, it, one)</v>
      </c>
      <c r="S79" s="7"/>
      <c r="T79" s="7" t="str">
        <f>INDEX('Brown-Universal mapping'!$B:$B,MATCH(Q79,'Brown-Universal mapping'!$A:$A,0))</f>
        <v>PRON</v>
      </c>
      <c r="U79" s="7">
        <f t="shared" si="2"/>
        <v>1</v>
      </c>
      <c r="V79" s="7">
        <f t="shared" si="3"/>
        <v>1</v>
      </c>
      <c r="X79" s="12" t="s">
        <v>85</v>
      </c>
      <c r="Y79" s="7" t="s">
        <v>307</v>
      </c>
      <c r="Z79" s="7" t="str">
        <f>INDEX('Brown tagset'!$B:$B,MATCH(IF(ISERROR(FIND("-",Y79)),IF(ISERROR(FIND("+",Y79)),Y79,LEFT(Y79,FIND("+",Y79)-1)),LEFT(Y79,FIND("-",Y79)-1)),'Brown tagset'!$A:$A,0))</f>
        <v>3rd. singular nominative pronoun (he, she, it, one)</v>
      </c>
      <c r="AA79" s="7"/>
      <c r="AB79" s="7" t="str">
        <f>INDEX('Brown-Universal mapping'!$B:$B,MATCH(Y79,'Brown-Universal mapping'!$A:$A,0))</f>
        <v>PRON</v>
      </c>
      <c r="AC79" s="7">
        <f t="shared" si="4"/>
        <v>1</v>
      </c>
      <c r="AD79" s="7">
        <f t="shared" si="5"/>
        <v>1</v>
      </c>
      <c r="AF79" s="9" t="s">
        <v>86</v>
      </c>
      <c r="AG79" s="9" t="str">
        <f>INDEX('Brown tagset'!$B:$B,MATCH(IF(ISERROR(FIND("-",AF79)),IF(ISERROR(FIND("+",AF79)),AF79,LEFT(AF79,FIND("+",AF79)-1)),LEFT(AF79,FIND("-",AF79)-1)),'Brown tagset'!$A:$A,0))</f>
        <v>3rd. singular nominative pronoun (he, she, it, one)</v>
      </c>
      <c r="AH79" s="9" t="s">
        <v>2</v>
      </c>
      <c r="AI79" s="9" t="str">
        <f>INDEX('Brown-Universal mapping'!$B:$B,MATCH(AF79,'Brown-Universal mapping'!$A:$A,0))</f>
        <v>PRON</v>
      </c>
      <c r="AJ79" s="9">
        <f t="shared" si="6"/>
        <v>1</v>
      </c>
      <c r="AK79" s="9">
        <f t="shared" si="7"/>
        <v>1</v>
      </c>
      <c r="AM79" s="6">
        <f t="shared" si="8"/>
        <v>3</v>
      </c>
      <c r="AN79" s="6">
        <f t="shared" si="9"/>
        <v>3</v>
      </c>
      <c r="AP79" s="6" t="str">
        <f t="shared" si="10"/>
        <v>3rd. singular nominative pronoun (he, she, it, one)3</v>
      </c>
    </row>
    <row r="80" spans="1:42" x14ac:dyDescent="0.25">
      <c r="A80" s="29" t="s">
        <v>14</v>
      </c>
      <c r="B80" s="29"/>
      <c r="D80" s="3" t="s">
        <v>15</v>
      </c>
      <c r="E80" s="3" t="str">
        <f>INDEX('Brown tagset'!$B:$B,MATCH(IF(ISERROR(FIND("-",D80)),IF(ISERROR(FIND("+",D80)),D80,LEFT(D80,FIND("+",D80)-1)),LEFT(D80,FIND("-",D80)-1)),'Brown tagset'!$A:$A,0))</f>
        <v>has</v>
      </c>
      <c r="F80" s="3"/>
      <c r="G80" s="3" t="str">
        <f>INDEX('Brown-Universal mapping'!$B:$B,MATCH(D80,'Brown-Universal mapping'!$A:$A,0))</f>
        <v>VERB</v>
      </c>
      <c r="I80" s="5" t="s">
        <v>15</v>
      </c>
      <c r="J80" s="5" t="str">
        <f>INDEX('Brown tagset'!$B:$B,MATCH(IF(ISERROR(FIND("-",I80)),IF(ISERROR(FIND("+",I80)),I80,LEFT(I80,FIND("+",I80)-1)),LEFT(I80,FIND("-",I80)-1)),'Brown tagset'!$A:$A,0))</f>
        <v>has</v>
      </c>
      <c r="K80" s="5" t="s">
        <v>2</v>
      </c>
      <c r="L80" s="5" t="str">
        <f>INDEX('Brown-Universal mapping'!$B:$B,MATCH(I80,'Brown-Universal mapping'!$A:$A,0))</f>
        <v>VERB</v>
      </c>
      <c r="M80" s="5">
        <f t="shared" si="0"/>
        <v>1</v>
      </c>
      <c r="N80" s="5">
        <f t="shared" si="1"/>
        <v>1</v>
      </c>
      <c r="P80" s="12" t="s">
        <v>14</v>
      </c>
      <c r="Q80" s="7" t="s">
        <v>290</v>
      </c>
      <c r="R80" s="7" t="str">
        <f>INDEX('Brown tagset'!$B:$B,MATCH(IF(ISERROR(FIND("-",Q80)),IF(ISERROR(FIND("+",Q80)),Q80,LEFT(Q80,FIND("+",Q80)-1)),LEFT(Q80,FIND("-",Q80)-1)),'Brown tagset'!$A:$A,0))</f>
        <v>has</v>
      </c>
      <c r="S80" s="7"/>
      <c r="T80" s="7" t="str">
        <f>INDEX('Brown-Universal mapping'!$B:$B,MATCH(Q80,'Brown-Universal mapping'!$A:$A,0))</f>
        <v>VERB</v>
      </c>
      <c r="U80" s="7">
        <f t="shared" si="2"/>
        <v>1</v>
      </c>
      <c r="V80" s="7">
        <f t="shared" si="3"/>
        <v>1</v>
      </c>
      <c r="X80" s="12" t="s">
        <v>14</v>
      </c>
      <c r="Y80" s="7" t="s">
        <v>290</v>
      </c>
      <c r="Z80" s="7" t="str">
        <f>INDEX('Brown tagset'!$B:$B,MATCH(IF(ISERROR(FIND("-",Y80)),IF(ISERROR(FIND("+",Y80)),Y80,LEFT(Y80,FIND("+",Y80)-1)),LEFT(Y80,FIND("-",Y80)-1)),'Brown tagset'!$A:$A,0))</f>
        <v>has</v>
      </c>
      <c r="AA80" s="7"/>
      <c r="AB80" s="7" t="str">
        <f>INDEX('Brown-Universal mapping'!$B:$B,MATCH(Y80,'Brown-Universal mapping'!$A:$A,0))</f>
        <v>VERB</v>
      </c>
      <c r="AC80" s="7">
        <f t="shared" si="4"/>
        <v>1</v>
      </c>
      <c r="AD80" s="7">
        <f t="shared" si="5"/>
        <v>1</v>
      </c>
      <c r="AF80" s="9" t="s">
        <v>15</v>
      </c>
      <c r="AG80" s="9" t="str">
        <f>INDEX('Brown tagset'!$B:$B,MATCH(IF(ISERROR(FIND("-",AF80)),IF(ISERROR(FIND("+",AF80)),AF80,LEFT(AF80,FIND("+",AF80)-1)),LEFT(AF80,FIND("-",AF80)-1)),'Brown tagset'!$A:$A,0))</f>
        <v>has</v>
      </c>
      <c r="AH80" s="9" t="s">
        <v>2</v>
      </c>
      <c r="AI80" s="9" t="str">
        <f>INDEX('Brown-Universal mapping'!$B:$B,MATCH(AF80,'Brown-Universal mapping'!$A:$A,0))</f>
        <v>VERB</v>
      </c>
      <c r="AJ80" s="9">
        <f t="shared" si="6"/>
        <v>1</v>
      </c>
      <c r="AK80" s="9">
        <f t="shared" si="7"/>
        <v>1</v>
      </c>
      <c r="AM80" s="6">
        <f t="shared" si="8"/>
        <v>3</v>
      </c>
      <c r="AN80" s="6">
        <f t="shared" si="9"/>
        <v>3</v>
      </c>
      <c r="AP80" s="6" t="str">
        <f t="shared" si="10"/>
        <v>has3</v>
      </c>
    </row>
    <row r="81" spans="1:42" x14ac:dyDescent="0.25">
      <c r="A81" s="29" t="s">
        <v>87</v>
      </c>
      <c r="B81" s="29"/>
      <c r="D81" s="3" t="s">
        <v>88</v>
      </c>
      <c r="E81" s="3" t="str">
        <f>INDEX('Brown tagset'!$B:$B,MATCH(IF(ISERROR(FIND("-",D81)),IF(ISERROR(FIND("+",D81)),D81,LEFT(D81,FIND("+",D81)-1)),LEFT(D81,FIND("-",D81)-1)),'Brown tagset'!$A:$A,0))</f>
        <v>nominal pronoun (everybody, nothing)</v>
      </c>
      <c r="F81" s="3"/>
      <c r="G81" s="3" t="str">
        <f>INDEX('Brown-Universal mapping'!$B:$B,MATCH(D81,'Brown-Universal mapping'!$A:$A,0))</f>
        <v>NOUN</v>
      </c>
      <c r="I81" s="5" t="s">
        <v>88</v>
      </c>
      <c r="J81" s="5" t="str">
        <f>INDEX('Brown tagset'!$B:$B,MATCH(IF(ISERROR(FIND("-",I81)),IF(ISERROR(FIND("+",I81)),I81,LEFT(I81,FIND("+",I81)-1)),LEFT(I81,FIND("-",I81)-1)),'Brown tagset'!$A:$A,0))</f>
        <v>nominal pronoun (everybody, nothing)</v>
      </c>
      <c r="K81" s="5" t="s">
        <v>2</v>
      </c>
      <c r="L81" s="5" t="str">
        <f>INDEX('Brown-Universal mapping'!$B:$B,MATCH(I81,'Brown-Universal mapping'!$A:$A,0))</f>
        <v>NOUN</v>
      </c>
      <c r="M81" s="5">
        <f t="shared" si="0"/>
        <v>1</v>
      </c>
      <c r="N81" s="5">
        <f t="shared" si="1"/>
        <v>1</v>
      </c>
      <c r="P81" s="12" t="s">
        <v>87</v>
      </c>
      <c r="Q81" s="7" t="s">
        <v>308</v>
      </c>
      <c r="R81" s="7" t="str">
        <f>INDEX('Brown tagset'!$B:$B,MATCH(IF(ISERROR(FIND("-",Q81)),IF(ISERROR(FIND("+",Q81)),Q81,LEFT(Q81,FIND("+",Q81)-1)),LEFT(Q81,FIND("-",Q81)-1)),'Brown tagset'!$A:$A,0))</f>
        <v>nominal pronoun (everybody, nothing)</v>
      </c>
      <c r="S81" s="7"/>
      <c r="T81" s="7" t="str">
        <f>INDEX('Brown-Universal mapping'!$B:$B,MATCH(Q81,'Brown-Universal mapping'!$A:$A,0))</f>
        <v>NOUN</v>
      </c>
      <c r="U81" s="7">
        <f t="shared" si="2"/>
        <v>1</v>
      </c>
      <c r="V81" s="7">
        <f t="shared" si="3"/>
        <v>1</v>
      </c>
      <c r="X81" s="12" t="s">
        <v>87</v>
      </c>
      <c r="Y81" s="7" t="s">
        <v>308</v>
      </c>
      <c r="Z81" s="7" t="str">
        <f>INDEX('Brown tagset'!$B:$B,MATCH(IF(ISERROR(FIND("-",Y81)),IF(ISERROR(FIND("+",Y81)),Y81,LEFT(Y81,FIND("+",Y81)-1)),LEFT(Y81,FIND("-",Y81)-1)),'Brown tagset'!$A:$A,0))</f>
        <v>nominal pronoun (everybody, nothing)</v>
      </c>
      <c r="AA81" s="7"/>
      <c r="AB81" s="7" t="str">
        <f>INDEX('Brown-Universal mapping'!$B:$B,MATCH(Y81,'Brown-Universal mapping'!$A:$A,0))</f>
        <v>NOUN</v>
      </c>
      <c r="AC81" s="7">
        <f t="shared" si="4"/>
        <v>1</v>
      </c>
      <c r="AD81" s="7">
        <f t="shared" si="5"/>
        <v>1</v>
      </c>
      <c r="AF81" s="9" t="s">
        <v>88</v>
      </c>
      <c r="AG81" s="9" t="str">
        <f>INDEX('Brown tagset'!$B:$B,MATCH(IF(ISERROR(FIND("-",AF81)),IF(ISERROR(FIND("+",AF81)),AF81,LEFT(AF81,FIND("+",AF81)-1)),LEFT(AF81,FIND("-",AF81)-1)),'Brown tagset'!$A:$A,0))</f>
        <v>nominal pronoun (everybody, nothing)</v>
      </c>
      <c r="AH81" s="9" t="s">
        <v>2</v>
      </c>
      <c r="AI81" s="9" t="str">
        <f>INDEX('Brown-Universal mapping'!$B:$B,MATCH(AF81,'Brown-Universal mapping'!$A:$A,0))</f>
        <v>NOUN</v>
      </c>
      <c r="AJ81" s="9">
        <f t="shared" si="6"/>
        <v>1</v>
      </c>
      <c r="AK81" s="9">
        <f t="shared" si="7"/>
        <v>1</v>
      </c>
      <c r="AM81" s="6">
        <f t="shared" si="8"/>
        <v>3</v>
      </c>
      <c r="AN81" s="6">
        <f t="shared" si="9"/>
        <v>3</v>
      </c>
      <c r="AP81" s="6" t="str">
        <f t="shared" si="10"/>
        <v>nominal pronoun (everybody, nothing)3</v>
      </c>
    </row>
    <row r="82" spans="1:42" x14ac:dyDescent="0.25">
      <c r="A82" s="29" t="s">
        <v>89</v>
      </c>
      <c r="B82" s="29"/>
      <c r="D82" s="3" t="s">
        <v>59</v>
      </c>
      <c r="E82" s="3" t="str">
        <f>INDEX('Brown tagset'!$B:$B,MATCH(IF(ISERROR(FIND("-",D82)),IF(ISERROR(FIND("+",D82)),D82,LEFT(D82,FIND("+",D82)-1)),LEFT(D82,FIND("-",D82)-1)),'Brown tagset'!$A:$A,0))</f>
        <v>preposition</v>
      </c>
      <c r="F82" s="3"/>
      <c r="G82" s="3" t="str">
        <f>INDEX('Brown-Universal mapping'!$B:$B,MATCH(D82,'Brown-Universal mapping'!$A:$A,0))</f>
        <v>ADP</v>
      </c>
      <c r="I82" s="5" t="s">
        <v>59</v>
      </c>
      <c r="J82" s="5" t="str">
        <f>INDEX('Brown tagset'!$B:$B,MATCH(IF(ISERROR(FIND("-",I82)),IF(ISERROR(FIND("+",I82)),I82,LEFT(I82,FIND("+",I82)-1)),LEFT(I82,FIND("-",I82)-1)),'Brown tagset'!$A:$A,0))</f>
        <v>preposition</v>
      </c>
      <c r="K82" s="5" t="s">
        <v>60</v>
      </c>
      <c r="L82" s="5" t="str">
        <f>INDEX('Brown-Universal mapping'!$B:$B,MATCH(I82,'Brown-Universal mapping'!$A:$A,0))</f>
        <v>ADP</v>
      </c>
      <c r="M82" s="5">
        <f t="shared" ref="M82:M142" si="11">IF(I82=$D82,1,0)</f>
        <v>1</v>
      </c>
      <c r="N82" s="5">
        <f t="shared" ref="N82:N142" si="12">IF(L82=$G82,1,0)</f>
        <v>1</v>
      </c>
      <c r="P82" s="12" t="s">
        <v>89</v>
      </c>
      <c r="Q82" s="7" t="s">
        <v>124</v>
      </c>
      <c r="R82" s="7" t="str">
        <f>INDEX('Brown tagset'!$B:$B,MATCH(IF(ISERROR(FIND("-",Q82)),IF(ISERROR(FIND("+",Q82)),Q82,LEFT(Q82,FIND("+",Q82)-1)),LEFT(Q82,FIND("-",Q82)-1)),'Brown tagset'!$A:$A,0))</f>
        <v>preposition</v>
      </c>
      <c r="S82" s="7"/>
      <c r="T82" s="7" t="str">
        <f>INDEX('Brown-Universal mapping'!$B:$B,MATCH(Q82,'Brown-Universal mapping'!$A:$A,0))</f>
        <v>ADP</v>
      </c>
      <c r="U82" s="7">
        <f t="shared" ref="U82:U142" si="13">IF(Q82=$D82,1,0)</f>
        <v>1</v>
      </c>
      <c r="V82" s="7">
        <f t="shared" ref="V82:V142" si="14">IF(T82=$G82,1,0)</f>
        <v>1</v>
      </c>
      <c r="X82" s="12" t="s">
        <v>89</v>
      </c>
      <c r="Y82" s="7" t="s">
        <v>124</v>
      </c>
      <c r="Z82" s="7" t="str">
        <f>INDEX('Brown tagset'!$B:$B,MATCH(IF(ISERROR(FIND("-",Y82)),IF(ISERROR(FIND("+",Y82)),Y82,LEFT(Y82,FIND("+",Y82)-1)),LEFT(Y82,FIND("-",Y82)-1)),'Brown tagset'!$A:$A,0))</f>
        <v>preposition</v>
      </c>
      <c r="AA82" s="7"/>
      <c r="AB82" s="7" t="str">
        <f>INDEX('Brown-Universal mapping'!$B:$B,MATCH(Y82,'Brown-Universal mapping'!$A:$A,0))</f>
        <v>ADP</v>
      </c>
      <c r="AC82" s="7">
        <f t="shared" si="4"/>
        <v>1</v>
      </c>
      <c r="AD82" s="7">
        <f t="shared" si="5"/>
        <v>1</v>
      </c>
      <c r="AF82" s="9" t="s">
        <v>59</v>
      </c>
      <c r="AG82" s="9" t="str">
        <f>INDEX('Brown tagset'!$B:$B,MATCH(IF(ISERROR(FIND("-",AF82)),IF(ISERROR(FIND("+",AF82)),AF82,LEFT(AF82,FIND("+",AF82)-1)),LEFT(AF82,FIND("-",AF82)-1)),'Brown tagset'!$A:$A,0))</f>
        <v>preposition</v>
      </c>
      <c r="AH82" s="9" t="s">
        <v>60</v>
      </c>
      <c r="AI82" s="9" t="str">
        <f>INDEX('Brown-Universal mapping'!$B:$B,MATCH(AF82,'Brown-Universal mapping'!$A:$A,0))</f>
        <v>ADP</v>
      </c>
      <c r="AJ82" s="9">
        <f t="shared" ref="AJ82:AJ142" si="15">IF(AF82=$D82,1,0)</f>
        <v>1</v>
      </c>
      <c r="AK82" s="9">
        <f t="shared" ref="AK82:AK142" si="16">IF(AI82=$G82,1,0)</f>
        <v>1</v>
      </c>
      <c r="AM82" s="6">
        <f t="shared" si="8"/>
        <v>3</v>
      </c>
      <c r="AN82" s="6">
        <f t="shared" si="9"/>
        <v>3</v>
      </c>
      <c r="AP82" s="6" t="str">
        <f t="shared" si="10"/>
        <v>preposition3</v>
      </c>
    </row>
    <row r="83" spans="1:42" x14ac:dyDescent="0.25">
      <c r="A83" s="29" t="s">
        <v>90</v>
      </c>
      <c r="B83" s="29"/>
      <c r="D83" s="3" t="s">
        <v>7</v>
      </c>
      <c r="E83" s="3" t="str">
        <f>INDEX('Brown tagset'!$B:$B,MATCH(IF(ISERROR(FIND("-",D83)),IF(ISERROR(FIND("+",D83)),D83,LEFT(D83,FIND("+",D83)-1)),LEFT(D83,FIND("-",D83)-1)),'Brown tagset'!$A:$A,0))</f>
        <v>article (a, the, no)</v>
      </c>
      <c r="F83" s="3"/>
      <c r="G83" s="3" t="str">
        <f>INDEX('Brown-Universal mapping'!$B:$B,MATCH(D83,'Brown-Universal mapping'!$A:$A,0))</f>
        <v>DET</v>
      </c>
      <c r="I83" s="5" t="s">
        <v>7</v>
      </c>
      <c r="J83" s="5" t="str">
        <f>INDEX('Brown tagset'!$B:$B,MATCH(IF(ISERROR(FIND("-",I83)),IF(ISERROR(FIND("+",I83)),I83,LEFT(I83,FIND("+",I83)-1)),LEFT(I83,FIND("-",I83)-1)),'Brown tagset'!$A:$A,0))</f>
        <v>article (a, the, no)</v>
      </c>
      <c r="K83" s="5" t="s">
        <v>2</v>
      </c>
      <c r="L83" s="5" t="str">
        <f>INDEX('Brown-Universal mapping'!$B:$B,MATCH(I83,'Brown-Universal mapping'!$A:$A,0))</f>
        <v>DET</v>
      </c>
      <c r="M83" s="5">
        <f t="shared" si="11"/>
        <v>1</v>
      </c>
      <c r="N83" s="5">
        <f t="shared" si="12"/>
        <v>1</v>
      </c>
      <c r="P83" s="12" t="s">
        <v>90</v>
      </c>
      <c r="Q83" s="7" t="s">
        <v>89</v>
      </c>
      <c r="R83" s="7" t="str">
        <f>INDEX('Brown tagset'!$B:$B,MATCH(IF(ISERROR(FIND("-",Q83)),IF(ISERROR(FIND("+",Q83)),Q83,LEFT(Q83,FIND("+",Q83)-1)),LEFT(Q83,FIND("-",Q83)-1)),'Brown tagset'!$A:$A,0))</f>
        <v>article (a, the, no)</v>
      </c>
      <c r="S83" s="7"/>
      <c r="T83" s="7" t="str">
        <f>INDEX('Brown-Universal mapping'!$B:$B,MATCH(Q83,'Brown-Universal mapping'!$A:$A,0))</f>
        <v>DET</v>
      </c>
      <c r="U83" s="7">
        <f t="shared" si="13"/>
        <v>1</v>
      </c>
      <c r="V83" s="7">
        <f t="shared" si="14"/>
        <v>1</v>
      </c>
      <c r="X83" s="12" t="s">
        <v>90</v>
      </c>
      <c r="Y83" s="7" t="s">
        <v>89</v>
      </c>
      <c r="Z83" s="7" t="str">
        <f>INDEX('Brown tagset'!$B:$B,MATCH(IF(ISERROR(FIND("-",Y83)),IF(ISERROR(FIND("+",Y83)),Y83,LEFT(Y83,FIND("+",Y83)-1)),LEFT(Y83,FIND("-",Y83)-1)),'Brown tagset'!$A:$A,0))</f>
        <v>article (a, the, no)</v>
      </c>
      <c r="AA83" s="7"/>
      <c r="AB83" s="7" t="str">
        <f>INDEX('Brown-Universal mapping'!$B:$B,MATCH(Y83,'Brown-Universal mapping'!$A:$A,0))</f>
        <v>DET</v>
      </c>
      <c r="AC83" s="7">
        <f t="shared" si="4"/>
        <v>1</v>
      </c>
      <c r="AD83" s="7">
        <f t="shared" si="5"/>
        <v>1</v>
      </c>
      <c r="AF83" s="9" t="s">
        <v>7</v>
      </c>
      <c r="AG83" s="9" t="str">
        <f>INDEX('Brown tagset'!$B:$B,MATCH(IF(ISERROR(FIND("-",AF83)),IF(ISERROR(FIND("+",AF83)),AF83,LEFT(AF83,FIND("+",AF83)-1)),LEFT(AF83,FIND("-",AF83)-1)),'Brown tagset'!$A:$A,0))</f>
        <v>article (a, the, no)</v>
      </c>
      <c r="AH83" s="9" t="s">
        <v>2</v>
      </c>
      <c r="AI83" s="9" t="str">
        <f>INDEX('Brown-Universal mapping'!$B:$B,MATCH(AF83,'Brown-Universal mapping'!$A:$A,0))</f>
        <v>DET</v>
      </c>
      <c r="AJ83" s="9">
        <f t="shared" si="15"/>
        <v>1</v>
      </c>
      <c r="AK83" s="9">
        <f t="shared" si="16"/>
        <v>1</v>
      </c>
      <c r="AM83" s="6">
        <f t="shared" si="8"/>
        <v>3</v>
      </c>
      <c r="AN83" s="6">
        <f t="shared" si="9"/>
        <v>3</v>
      </c>
      <c r="AP83" s="6" t="str">
        <f t="shared" si="10"/>
        <v>article (a, the, no)3</v>
      </c>
    </row>
    <row r="84" spans="1:42" x14ac:dyDescent="0.25">
      <c r="A84" s="29" t="s">
        <v>91</v>
      </c>
      <c r="B84" s="29"/>
      <c r="D84" s="3" t="s">
        <v>12</v>
      </c>
      <c r="E84" s="3" t="str">
        <f>INDEX('Brown tagset'!$B:$B,MATCH(IF(ISERROR(FIND("-",D84)),IF(ISERROR(FIND("+",D84)),D84,LEFT(D84,FIND("+",D84)-1)),LEFT(D84,FIND("-",D84)-1)),'Brown tagset'!$A:$A,0))</f>
        <v>singular or mass noun</v>
      </c>
      <c r="F84" s="3"/>
      <c r="G84" s="3" t="str">
        <f>INDEX('Brown-Universal mapping'!$B:$B,MATCH(D84,'Brown-Universal mapping'!$A:$A,0))</f>
        <v>NOUN</v>
      </c>
      <c r="I84" s="5" t="s">
        <v>12</v>
      </c>
      <c r="J84" s="5" t="str">
        <f>INDEX('Brown tagset'!$B:$B,MATCH(IF(ISERROR(FIND("-",I84)),IF(ISERROR(FIND("+",I84)),I84,LEFT(I84,FIND("+",I84)-1)),LEFT(I84,FIND("-",I84)-1)),'Brown tagset'!$A:$A,0))</f>
        <v>singular or mass noun</v>
      </c>
      <c r="K84" s="5" t="s">
        <v>13</v>
      </c>
      <c r="L84" s="5" t="str">
        <f>INDEX('Brown-Universal mapping'!$B:$B,MATCH(I84,'Brown-Universal mapping'!$A:$A,0))</f>
        <v>NOUN</v>
      </c>
      <c r="M84" s="5">
        <f t="shared" si="11"/>
        <v>1</v>
      </c>
      <c r="N84" s="5">
        <f t="shared" si="12"/>
        <v>1</v>
      </c>
      <c r="P84" s="12" t="s">
        <v>91</v>
      </c>
      <c r="Q84" s="7" t="s">
        <v>289</v>
      </c>
      <c r="R84" s="7" t="str">
        <f>INDEX('Brown tagset'!$B:$B,MATCH(IF(ISERROR(FIND("-",Q84)),IF(ISERROR(FIND("+",Q84)),Q84,LEFT(Q84,FIND("+",Q84)-1)),LEFT(Q84,FIND("-",Q84)-1)),'Brown tagset'!$A:$A,0))</f>
        <v>singular or mass noun</v>
      </c>
      <c r="S84" s="7"/>
      <c r="T84" s="7" t="str">
        <f>INDEX('Brown-Universal mapping'!$B:$B,MATCH(Q84,'Brown-Universal mapping'!$A:$A,0))</f>
        <v>NOUN</v>
      </c>
      <c r="U84" s="7">
        <f t="shared" si="13"/>
        <v>1</v>
      </c>
      <c r="V84" s="7">
        <f t="shared" si="14"/>
        <v>1</v>
      </c>
      <c r="X84" s="12" t="s">
        <v>91</v>
      </c>
      <c r="Y84" s="7" t="s">
        <v>289</v>
      </c>
      <c r="Z84" s="7" t="str">
        <f>INDEX('Brown tagset'!$B:$B,MATCH(IF(ISERROR(FIND("-",Y84)),IF(ISERROR(FIND("+",Y84)),Y84,LEFT(Y84,FIND("+",Y84)-1)),LEFT(Y84,FIND("-",Y84)-1)),'Brown tagset'!$A:$A,0))</f>
        <v>singular or mass noun</v>
      </c>
      <c r="AA84" s="7"/>
      <c r="AB84" s="7" t="str">
        <f>INDEX('Brown-Universal mapping'!$B:$B,MATCH(Y84,'Brown-Universal mapping'!$A:$A,0))</f>
        <v>NOUN</v>
      </c>
      <c r="AC84" s="7">
        <f t="shared" si="4"/>
        <v>1</v>
      </c>
      <c r="AD84" s="7">
        <f t="shared" si="5"/>
        <v>1</v>
      </c>
      <c r="AF84" s="9" t="s">
        <v>12</v>
      </c>
      <c r="AG84" s="9" t="str">
        <f>INDEX('Brown tagset'!$B:$B,MATCH(IF(ISERROR(FIND("-",AF84)),IF(ISERROR(FIND("+",AF84)),AF84,LEFT(AF84,FIND("+",AF84)-1)),LEFT(AF84,FIND("-",AF84)-1)),'Brown tagset'!$A:$A,0))</f>
        <v>singular or mass noun</v>
      </c>
      <c r="AH84" s="9" t="s">
        <v>13</v>
      </c>
      <c r="AI84" s="9" t="str">
        <f>INDEX('Brown-Universal mapping'!$B:$B,MATCH(AF84,'Brown-Universal mapping'!$A:$A,0))</f>
        <v>NOUN</v>
      </c>
      <c r="AJ84" s="9">
        <f t="shared" si="15"/>
        <v>1</v>
      </c>
      <c r="AK84" s="9">
        <f t="shared" si="16"/>
        <v>1</v>
      </c>
      <c r="AM84" s="6">
        <f t="shared" si="8"/>
        <v>3</v>
      </c>
      <c r="AN84" s="6">
        <f t="shared" si="9"/>
        <v>3</v>
      </c>
      <c r="AP84" s="6" t="str">
        <f t="shared" si="10"/>
        <v>singular or mass noun3</v>
      </c>
    </row>
    <row r="85" spans="1:42" x14ac:dyDescent="0.25">
      <c r="A85" s="29" t="s">
        <v>92</v>
      </c>
      <c r="B85" s="29"/>
      <c r="D85" s="3" t="s">
        <v>92</v>
      </c>
      <c r="E85" s="3" t="str">
        <f>INDEX('Brown tagset'!$B:$B,MATCH(IF(ISERROR(FIND("-",D85)),IF(ISERROR(FIND("+",D85)),D85,LEFT(D85,FIND("+",D85)-1)),LEFT(D85,FIND("-",D85)-1)),'Brown tagset'!$A:$A,0))</f>
        <v>right paren</v>
      </c>
      <c r="F85" s="3"/>
      <c r="G85" s="3" t="str">
        <f>INDEX('Brown-Universal mapping'!$B:$B,MATCH(D85,'Brown-Universal mapping'!$A:$A,0))</f>
        <v>.</v>
      </c>
      <c r="I85" s="5" t="s">
        <v>92</v>
      </c>
      <c r="J85" s="5" t="str">
        <f>INDEX('Brown tagset'!$B:$B,MATCH(IF(ISERROR(FIND("-",I85)),IF(ISERROR(FIND("+",I85)),I85,LEFT(I85,FIND("+",I85)-1)),LEFT(I85,FIND("-",I85)-1)),'Brown tagset'!$A:$A,0))</f>
        <v>right paren</v>
      </c>
      <c r="K85" s="5" t="s">
        <v>38</v>
      </c>
      <c r="L85" s="5" t="str">
        <f>INDEX('Brown-Universal mapping'!$B:$B,MATCH(I85,'Brown-Universal mapping'!$A:$A,0))</f>
        <v>.</v>
      </c>
      <c r="M85" s="5">
        <f t="shared" si="11"/>
        <v>1</v>
      </c>
      <c r="N85" s="5">
        <f t="shared" si="12"/>
        <v>1</v>
      </c>
      <c r="P85" s="12" t="s">
        <v>309</v>
      </c>
      <c r="Q85" s="7" t="s">
        <v>289</v>
      </c>
      <c r="R85" s="7" t="str">
        <f>INDEX('Brown tagset'!$B:$B,MATCH(IF(ISERROR(FIND("-",Q85)),IF(ISERROR(FIND("+",Q85)),Q85,LEFT(Q85,FIND("+",Q85)-1)),LEFT(Q85,FIND("-",Q85)-1)),'Brown tagset'!$A:$A,0))</f>
        <v>singular or mass noun</v>
      </c>
      <c r="S85" s="7"/>
      <c r="T85" s="7" t="str">
        <f>INDEX('Brown-Universal mapping'!$B:$B,MATCH(Q85,'Brown-Universal mapping'!$A:$A,0))</f>
        <v>NOUN</v>
      </c>
      <c r="U85" s="7">
        <f t="shared" si="13"/>
        <v>0</v>
      </c>
      <c r="V85" s="7">
        <f t="shared" si="14"/>
        <v>0</v>
      </c>
      <c r="X85" s="12" t="s">
        <v>92</v>
      </c>
      <c r="Y85" s="7" t="s">
        <v>92</v>
      </c>
      <c r="Z85" s="7" t="str">
        <f>INDEX('Brown tagset'!$B:$B,MATCH(IF(ISERROR(FIND("-",Y85)),IF(ISERROR(FIND("+",Y85)),Y85,LEFT(Y85,FIND("+",Y85)-1)),LEFT(Y85,FIND("-",Y85)-1)),'Brown tagset'!$A:$A,0))</f>
        <v>right paren</v>
      </c>
      <c r="AA85" s="7"/>
      <c r="AB85" s="7" t="str">
        <f>INDEX('Brown-Universal mapping'!$B:$B,MATCH(Y85,'Brown-Universal mapping'!$A:$A,0))</f>
        <v>.</v>
      </c>
      <c r="AC85" s="7">
        <f t="shared" ref="AC85:AC148" si="17">IF(Y85=$D85,1,0)</f>
        <v>1</v>
      </c>
      <c r="AD85" s="7">
        <f t="shared" ref="AD85:AD148" si="18">IF(AB85=$G85,1,0)</f>
        <v>1</v>
      </c>
      <c r="AF85" s="9" t="s">
        <v>92</v>
      </c>
      <c r="AG85" s="9" t="str">
        <f>INDEX('Brown tagset'!$B:$B,MATCH(IF(ISERROR(FIND("-",AF85)),IF(ISERROR(FIND("+",AF85)),AF85,LEFT(AF85,FIND("+",AF85)-1)),LEFT(AF85,FIND("-",AF85)-1)),'Brown tagset'!$A:$A,0))</f>
        <v>right paren</v>
      </c>
      <c r="AH85" s="9" t="s">
        <v>38</v>
      </c>
      <c r="AI85" s="9" t="str">
        <f>INDEX('Brown-Universal mapping'!$B:$B,MATCH(AF85,'Brown-Universal mapping'!$A:$A,0))</f>
        <v>.</v>
      </c>
      <c r="AJ85" s="9">
        <f t="shared" si="15"/>
        <v>1</v>
      </c>
      <c r="AK85" s="9">
        <f t="shared" si="16"/>
        <v>1</v>
      </c>
      <c r="AM85" s="6">
        <f t="shared" ref="AM85:AM148" si="19">M85+AC85+AJ85</f>
        <v>3</v>
      </c>
      <c r="AN85" s="6">
        <f t="shared" ref="AN85:AN148" si="20">N85+AD85+AK85</f>
        <v>3</v>
      </c>
      <c r="AP85" s="6" t="str">
        <f t="shared" ref="AP85:AP148" si="21">AG85&amp;AM85</f>
        <v>right paren3</v>
      </c>
    </row>
    <row r="86" spans="1:42" x14ac:dyDescent="0.25">
      <c r="A86" s="29" t="s">
        <v>49</v>
      </c>
      <c r="B86" s="29"/>
      <c r="D86" s="3" t="s">
        <v>49</v>
      </c>
      <c r="E86" s="3" t="str">
        <f>INDEX('Brown tagset'!$B:$B,MATCH(IF(ISERROR(FIND("-",D86)),IF(ISERROR(FIND("+",D86)),D86,LEFT(D86,FIND("+",D86)-1)),LEFT(D86,FIND("-",D86)-1)),'Brown tagset'!$A:$A,0))</f>
        <v>begin quotation</v>
      </c>
      <c r="F86" s="3"/>
      <c r="G86" s="3" t="str">
        <f>INDEX('Brown-Universal mapping'!$B:$B,MATCH(D86,'Brown-Universal mapping'!$A:$A,0))</f>
        <v>.</v>
      </c>
      <c r="I86" s="5" t="s">
        <v>49</v>
      </c>
      <c r="J86" s="5" t="str">
        <f>INDEX('Brown tagset'!$B:$B,MATCH(IF(ISERROR(FIND("-",I86)),IF(ISERROR(FIND("+",I86)),I86,LEFT(I86,FIND("+",I86)-1)),LEFT(I86,FIND("-",I86)-1)),'Brown tagset'!$A:$A,0))</f>
        <v>begin quotation</v>
      </c>
      <c r="K86" s="5" t="s">
        <v>38</v>
      </c>
      <c r="L86" s="5" t="str">
        <f>INDEX('Brown-Universal mapping'!$B:$B,MATCH(I86,'Brown-Universal mapping'!$A:$A,0))</f>
        <v>.</v>
      </c>
      <c r="M86" s="5">
        <f t="shared" si="11"/>
        <v>1</v>
      </c>
      <c r="N86" s="5">
        <f t="shared" si="12"/>
        <v>1</v>
      </c>
      <c r="P86" s="12" t="s">
        <v>49</v>
      </c>
      <c r="Q86" s="7" t="s">
        <v>49</v>
      </c>
      <c r="R86" s="7" t="str">
        <f>INDEX('Brown tagset'!$B:$B,MATCH(IF(ISERROR(FIND("-",Q86)),IF(ISERROR(FIND("+",Q86)),Q86,LEFT(Q86,FIND("+",Q86)-1)),LEFT(Q86,FIND("-",Q86)-1)),'Brown tagset'!$A:$A,0))</f>
        <v>begin quotation</v>
      </c>
      <c r="S86" s="7"/>
      <c r="T86" s="7" t="str">
        <f>INDEX('Brown-Universal mapping'!$B:$B,MATCH(Q86,'Brown-Universal mapping'!$A:$A,0))</f>
        <v>.</v>
      </c>
      <c r="U86" s="7">
        <f t="shared" si="13"/>
        <v>1</v>
      </c>
      <c r="V86" s="7">
        <f t="shared" si="14"/>
        <v>1</v>
      </c>
      <c r="X86" s="12" t="s">
        <v>49</v>
      </c>
      <c r="Y86" s="7" t="s">
        <v>49</v>
      </c>
      <c r="Z86" s="7" t="str">
        <f>INDEX('Brown tagset'!$B:$B,MATCH(IF(ISERROR(FIND("-",Y86)),IF(ISERROR(FIND("+",Y86)),Y86,LEFT(Y86,FIND("+",Y86)-1)),LEFT(Y86,FIND("-",Y86)-1)),'Brown tagset'!$A:$A,0))</f>
        <v>begin quotation</v>
      </c>
      <c r="AA86" s="7"/>
      <c r="AB86" s="7" t="str">
        <f>INDEX('Brown-Universal mapping'!$B:$B,MATCH(Y86,'Brown-Universal mapping'!$A:$A,0))</f>
        <v>.</v>
      </c>
      <c r="AC86" s="7">
        <f t="shared" si="17"/>
        <v>1</v>
      </c>
      <c r="AD86" s="7">
        <f t="shared" si="18"/>
        <v>1</v>
      </c>
      <c r="AF86" s="9" t="s">
        <v>49</v>
      </c>
      <c r="AG86" s="9" t="str">
        <f>INDEX('Brown tagset'!$B:$B,MATCH(IF(ISERROR(FIND("-",AF86)),IF(ISERROR(FIND("+",AF86)),AF86,LEFT(AF86,FIND("+",AF86)-1)),LEFT(AF86,FIND("-",AF86)-1)),'Brown tagset'!$A:$A,0))</f>
        <v>begin quotation</v>
      </c>
      <c r="AH86" s="9" t="s">
        <v>38</v>
      </c>
      <c r="AI86" s="9" t="str">
        <f>INDEX('Brown-Universal mapping'!$B:$B,MATCH(AF86,'Brown-Universal mapping'!$A:$A,0))</f>
        <v>.</v>
      </c>
      <c r="AJ86" s="9">
        <f t="shared" si="15"/>
        <v>1</v>
      </c>
      <c r="AK86" s="9">
        <f t="shared" si="16"/>
        <v>1</v>
      </c>
      <c r="AM86" s="6">
        <f t="shared" si="19"/>
        <v>3</v>
      </c>
      <c r="AN86" s="6">
        <f t="shared" si="20"/>
        <v>3</v>
      </c>
      <c r="AP86" s="6" t="str">
        <f t="shared" si="21"/>
        <v>begin quotation3</v>
      </c>
    </row>
    <row r="87" spans="1:42" x14ac:dyDescent="0.25">
      <c r="A87" s="29" t="s">
        <v>93</v>
      </c>
      <c r="B87" s="29"/>
      <c r="D87" s="3" t="s">
        <v>38</v>
      </c>
      <c r="E87" s="3" t="str">
        <f>INDEX('Brown tagset'!$B:$B,MATCH(IF(ISERROR(FIND("-",D87)),IF(ISERROR(FIND("+",D87)),D87,LEFT(D87,FIND("+",D87)-1)),LEFT(D87,FIND("-",D87)-1)),'Brown tagset'!$A:$A,0))</f>
        <v>sentence (. ; ? *)</v>
      </c>
      <c r="F87" s="3"/>
      <c r="G87" s="3" t="str">
        <f>INDEX('Brown-Universal mapping'!$B:$B,MATCH(D87,'Brown-Universal mapping'!$A:$A,0))</f>
        <v>.</v>
      </c>
      <c r="I87" s="5" t="s">
        <v>38</v>
      </c>
      <c r="J87" s="5" t="str">
        <f>INDEX('Brown tagset'!$B:$B,MATCH(IF(ISERROR(FIND("-",I87)),IF(ISERROR(FIND("+",I87)),I87,LEFT(I87,FIND("+",I87)-1)),LEFT(I87,FIND("-",I87)-1)),'Brown tagset'!$A:$A,0))</f>
        <v>sentence (. ; ? *)</v>
      </c>
      <c r="K87" s="5" t="s">
        <v>38</v>
      </c>
      <c r="L87" s="5" t="str">
        <f>INDEX('Brown-Universal mapping'!$B:$B,MATCH(I87,'Brown-Universal mapping'!$A:$A,0))</f>
        <v>.</v>
      </c>
      <c r="M87" s="5">
        <f t="shared" si="11"/>
        <v>1</v>
      </c>
      <c r="N87" s="5">
        <f t="shared" si="12"/>
        <v>1</v>
      </c>
      <c r="P87" s="12" t="s">
        <v>93</v>
      </c>
      <c r="Q87" s="7" t="s">
        <v>38</v>
      </c>
      <c r="R87" s="7" t="str">
        <f>INDEX('Brown tagset'!$B:$B,MATCH(IF(ISERROR(FIND("-",Q87)),IF(ISERROR(FIND("+",Q87)),Q87,LEFT(Q87,FIND("+",Q87)-1)),LEFT(Q87,FIND("-",Q87)-1)),'Brown tagset'!$A:$A,0))</f>
        <v>sentence (. ; ? *)</v>
      </c>
      <c r="S87" s="7"/>
      <c r="T87" s="7" t="str">
        <f>INDEX('Brown-Universal mapping'!$B:$B,MATCH(Q87,'Brown-Universal mapping'!$A:$A,0))</f>
        <v>.</v>
      </c>
      <c r="U87" s="7">
        <f t="shared" si="13"/>
        <v>1</v>
      </c>
      <c r="V87" s="7">
        <f t="shared" si="14"/>
        <v>1</v>
      </c>
      <c r="X87" s="12" t="s">
        <v>93</v>
      </c>
      <c r="Y87" s="7" t="s">
        <v>38</v>
      </c>
      <c r="Z87" s="7" t="str">
        <f>INDEX('Brown tagset'!$B:$B,MATCH(IF(ISERROR(FIND("-",Y87)),IF(ISERROR(FIND("+",Y87)),Y87,LEFT(Y87,FIND("+",Y87)-1)),LEFT(Y87,FIND("-",Y87)-1)),'Brown tagset'!$A:$A,0))</f>
        <v>sentence (. ; ? *)</v>
      </c>
      <c r="AA87" s="7"/>
      <c r="AB87" s="7" t="str">
        <f>INDEX('Brown-Universal mapping'!$B:$B,MATCH(Y87,'Brown-Universal mapping'!$A:$A,0))</f>
        <v>.</v>
      </c>
      <c r="AC87" s="7">
        <f t="shared" si="17"/>
        <v>1</v>
      </c>
      <c r="AD87" s="7">
        <f t="shared" si="18"/>
        <v>1</v>
      </c>
      <c r="AF87" s="9" t="s">
        <v>38</v>
      </c>
      <c r="AG87" s="9" t="str">
        <f>INDEX('Brown tagset'!$B:$B,MATCH(IF(ISERROR(FIND("-",AF87)),IF(ISERROR(FIND("+",AF87)),AF87,LEFT(AF87,FIND("+",AF87)-1)),LEFT(AF87,FIND("-",AF87)-1)),'Brown tagset'!$A:$A,0))</f>
        <v>sentence (. ; ? *)</v>
      </c>
      <c r="AH87" s="9" t="s">
        <v>38</v>
      </c>
      <c r="AI87" s="9" t="str">
        <f>INDEX('Brown-Universal mapping'!$B:$B,MATCH(AF87,'Brown-Universal mapping'!$A:$A,0))</f>
        <v>.</v>
      </c>
      <c r="AJ87" s="9">
        <f t="shared" si="15"/>
        <v>1</v>
      </c>
      <c r="AK87" s="9">
        <f t="shared" si="16"/>
        <v>1</v>
      </c>
      <c r="AM87" s="6">
        <f t="shared" si="19"/>
        <v>3</v>
      </c>
      <c r="AN87" s="6">
        <f t="shared" si="20"/>
        <v>3</v>
      </c>
      <c r="AP87" s="6" t="str">
        <f t="shared" si="21"/>
        <v>sentence (. ; ? *)3</v>
      </c>
    </row>
    <row r="88" spans="1:42" x14ac:dyDescent="0.25">
      <c r="A88" s="29" t="s">
        <v>94</v>
      </c>
      <c r="B88" s="29"/>
      <c r="D88" s="3" t="s">
        <v>59</v>
      </c>
      <c r="E88" s="3" t="str">
        <f>INDEX('Brown tagset'!$B:$B,MATCH(IF(ISERROR(FIND("-",D88)),IF(ISERROR(FIND("+",D88)),D88,LEFT(D88,FIND("+",D88)-1)),LEFT(D88,FIND("-",D88)-1)),'Brown tagset'!$A:$A,0))</f>
        <v>preposition</v>
      </c>
      <c r="F88" s="3"/>
      <c r="G88" s="3" t="str">
        <f>INDEX('Brown-Universal mapping'!$B:$B,MATCH(D88,'Brown-Universal mapping'!$A:$A,0))</f>
        <v>ADP</v>
      </c>
      <c r="I88" s="5" t="s">
        <v>59</v>
      </c>
      <c r="J88" s="5" t="str">
        <f>INDEX('Brown tagset'!$B:$B,MATCH(IF(ISERROR(FIND("-",I88)),IF(ISERROR(FIND("+",I88)),I88,LEFT(I88,FIND("+",I88)-1)),LEFT(I88,FIND("-",I88)-1)),'Brown tagset'!$A:$A,0))</f>
        <v>preposition</v>
      </c>
      <c r="K88" s="5" t="s">
        <v>60</v>
      </c>
      <c r="L88" s="5" t="str">
        <f>INDEX('Brown-Universal mapping'!$B:$B,MATCH(I88,'Brown-Universal mapping'!$A:$A,0))</f>
        <v>ADP</v>
      </c>
      <c r="M88" s="5">
        <f t="shared" si="11"/>
        <v>1</v>
      </c>
      <c r="N88" s="5">
        <f t="shared" si="12"/>
        <v>1</v>
      </c>
      <c r="P88" s="12" t="s">
        <v>94</v>
      </c>
      <c r="Q88" s="7" t="s">
        <v>124</v>
      </c>
      <c r="R88" s="7" t="str">
        <f>INDEX('Brown tagset'!$B:$B,MATCH(IF(ISERROR(FIND("-",Q88)),IF(ISERROR(FIND("+",Q88)),Q88,LEFT(Q88,FIND("+",Q88)-1)),LEFT(Q88,FIND("-",Q88)-1)),'Brown tagset'!$A:$A,0))</f>
        <v>preposition</v>
      </c>
      <c r="S88" s="7"/>
      <c r="T88" s="7" t="str">
        <f>INDEX('Brown-Universal mapping'!$B:$B,MATCH(Q88,'Brown-Universal mapping'!$A:$A,0))</f>
        <v>ADP</v>
      </c>
      <c r="U88" s="7">
        <f t="shared" si="13"/>
        <v>1</v>
      </c>
      <c r="V88" s="7">
        <f t="shared" si="14"/>
        <v>1</v>
      </c>
      <c r="X88" s="12" t="s">
        <v>94</v>
      </c>
      <c r="Y88" s="7" t="s">
        <v>124</v>
      </c>
      <c r="Z88" s="7" t="str">
        <f>INDEX('Brown tagset'!$B:$B,MATCH(IF(ISERROR(FIND("-",Y88)),IF(ISERROR(FIND("+",Y88)),Y88,LEFT(Y88,FIND("+",Y88)-1)),LEFT(Y88,FIND("-",Y88)-1)),'Brown tagset'!$A:$A,0))</f>
        <v>preposition</v>
      </c>
      <c r="AA88" s="7"/>
      <c r="AB88" s="7" t="str">
        <f>INDEX('Brown-Universal mapping'!$B:$B,MATCH(Y88,'Brown-Universal mapping'!$A:$A,0))</f>
        <v>ADP</v>
      </c>
      <c r="AC88" s="7">
        <f t="shared" si="17"/>
        <v>1</v>
      </c>
      <c r="AD88" s="7">
        <f t="shared" si="18"/>
        <v>1</v>
      </c>
      <c r="AF88" s="9" t="s">
        <v>59</v>
      </c>
      <c r="AG88" s="9" t="str">
        <f>INDEX('Brown tagset'!$B:$B,MATCH(IF(ISERROR(FIND("-",AF88)),IF(ISERROR(FIND("+",AF88)),AF88,LEFT(AF88,FIND("+",AF88)-1)),LEFT(AF88,FIND("-",AF88)-1)),'Brown tagset'!$A:$A,0))</f>
        <v>preposition</v>
      </c>
      <c r="AH88" s="9" t="s">
        <v>60</v>
      </c>
      <c r="AI88" s="9" t="str">
        <f>INDEX('Brown-Universal mapping'!$B:$B,MATCH(AF88,'Brown-Universal mapping'!$A:$A,0))</f>
        <v>ADP</v>
      </c>
      <c r="AJ88" s="9">
        <f t="shared" si="15"/>
        <v>1</v>
      </c>
      <c r="AK88" s="9">
        <f t="shared" si="16"/>
        <v>1</v>
      </c>
      <c r="AM88" s="6">
        <f t="shared" si="19"/>
        <v>3</v>
      </c>
      <c r="AN88" s="6">
        <f t="shared" si="20"/>
        <v>3</v>
      </c>
      <c r="AP88" s="6" t="str">
        <f t="shared" si="21"/>
        <v>preposition3</v>
      </c>
    </row>
    <row r="89" spans="1:42" x14ac:dyDescent="0.25">
      <c r="A89" s="29" t="s">
        <v>40</v>
      </c>
      <c r="B89" s="29"/>
      <c r="D89" s="3" t="s">
        <v>41</v>
      </c>
      <c r="E89" s="3" t="str">
        <f>INDEX('Brown tagset'!$B:$B,MATCH(IF(ISERROR(FIND("-",D89)),IF(ISERROR(FIND("+",D89)),D89,LEFT(D89,FIND("+",D89)-1)),LEFT(D89,FIND("-",D89)-1)),'Brown tagset'!$A:$A,0))</f>
        <v>pre-quantifier (half, all)</v>
      </c>
      <c r="F89" s="3"/>
      <c r="G89" s="3" t="str">
        <f>INDEX('Brown-Universal mapping'!$B:$B,MATCH(D89,'Brown-Universal mapping'!$A:$A,0))</f>
        <v>PRT</v>
      </c>
      <c r="I89" s="5" t="s">
        <v>41</v>
      </c>
      <c r="J89" s="5" t="str">
        <f>INDEX('Brown tagset'!$B:$B,MATCH(IF(ISERROR(FIND("-",I89)),IF(ISERROR(FIND("+",I89)),I89,LEFT(I89,FIND("+",I89)-1)),LEFT(I89,FIND("-",I89)-1)),'Brown tagset'!$A:$A,0))</f>
        <v>pre-quantifier (half, all)</v>
      </c>
      <c r="K89" s="5" t="s">
        <v>2</v>
      </c>
      <c r="L89" s="5" t="str">
        <f>INDEX('Brown-Universal mapping'!$B:$B,MATCH(I89,'Brown-Universal mapping'!$A:$A,0))</f>
        <v>PRT</v>
      </c>
      <c r="M89" s="5">
        <f t="shared" si="11"/>
        <v>1</v>
      </c>
      <c r="N89" s="5">
        <f t="shared" si="12"/>
        <v>1</v>
      </c>
      <c r="P89" s="12" t="s">
        <v>40</v>
      </c>
      <c r="Q89" s="7" t="s">
        <v>297</v>
      </c>
      <c r="R89" s="7" t="str">
        <f>INDEX('Brown tagset'!$B:$B,MATCH(IF(ISERROR(FIND("-",Q89)),IF(ISERROR(FIND("+",Q89)),Q89,LEFT(Q89,FIND("+",Q89)-1)),LEFT(Q89,FIND("-",Q89)-1)),'Brown tagset'!$A:$A,0))</f>
        <v>pre-quantifier (half, all)</v>
      </c>
      <c r="S89" s="7"/>
      <c r="T89" s="7" t="str">
        <f>INDEX('Brown-Universal mapping'!$B:$B,MATCH(Q89,'Brown-Universal mapping'!$A:$A,0))</f>
        <v>PRT</v>
      </c>
      <c r="U89" s="7">
        <f t="shared" si="13"/>
        <v>1</v>
      </c>
      <c r="V89" s="7">
        <f t="shared" si="14"/>
        <v>1</v>
      </c>
      <c r="X89" s="12" t="s">
        <v>40</v>
      </c>
      <c r="Y89" s="7" t="s">
        <v>297</v>
      </c>
      <c r="Z89" s="7" t="str">
        <f>INDEX('Brown tagset'!$B:$B,MATCH(IF(ISERROR(FIND("-",Y89)),IF(ISERROR(FIND("+",Y89)),Y89,LEFT(Y89,FIND("+",Y89)-1)),LEFT(Y89,FIND("-",Y89)-1)),'Brown tagset'!$A:$A,0))</f>
        <v>pre-quantifier (half, all)</v>
      </c>
      <c r="AA89" s="7"/>
      <c r="AB89" s="7" t="str">
        <f>INDEX('Brown-Universal mapping'!$B:$B,MATCH(Y89,'Brown-Universal mapping'!$A:$A,0))</f>
        <v>PRT</v>
      </c>
      <c r="AC89" s="7">
        <f t="shared" si="17"/>
        <v>1</v>
      </c>
      <c r="AD89" s="7">
        <f t="shared" si="18"/>
        <v>1</v>
      </c>
      <c r="AF89" s="9" t="s">
        <v>41</v>
      </c>
      <c r="AG89" s="9" t="str">
        <f>INDEX('Brown tagset'!$B:$B,MATCH(IF(ISERROR(FIND("-",AF89)),IF(ISERROR(FIND("+",AF89)),AF89,LEFT(AF89,FIND("+",AF89)-1)),LEFT(AF89,FIND("-",AF89)-1)),'Brown tagset'!$A:$A,0))</f>
        <v>pre-quantifier (half, all)</v>
      </c>
      <c r="AH89" s="9" t="s">
        <v>2</v>
      </c>
      <c r="AI89" s="9" t="str">
        <f>INDEX('Brown-Universal mapping'!$B:$B,MATCH(AF89,'Brown-Universal mapping'!$A:$A,0))</f>
        <v>PRT</v>
      </c>
      <c r="AJ89" s="9">
        <f t="shared" si="15"/>
        <v>1</v>
      </c>
      <c r="AK89" s="9">
        <f t="shared" si="16"/>
        <v>1</v>
      </c>
      <c r="AM89" s="6">
        <f t="shared" si="19"/>
        <v>3</v>
      </c>
      <c r="AN89" s="6">
        <f t="shared" si="20"/>
        <v>3</v>
      </c>
      <c r="AP89" s="6" t="str">
        <f t="shared" si="21"/>
        <v>pre-quantifier (half, all)3</v>
      </c>
    </row>
    <row r="90" spans="1:42" x14ac:dyDescent="0.25">
      <c r="A90" s="29" t="s">
        <v>62</v>
      </c>
      <c r="B90" s="29"/>
      <c r="D90" s="3" t="s">
        <v>62</v>
      </c>
      <c r="E90" s="3" t="str">
        <f>INDEX('Brown tagset'!$B:$B,MATCH(IF(ISERROR(FIND("-",D90)),IF(ISERROR(FIND("+",D90)),D90,LEFT(D90,FIND("+",D90)-1)),LEFT(D90,FIND("-",D90)-1)),'Brown tagset'!$A:$A,0))</f>
        <v>comma</v>
      </c>
      <c r="F90" s="3"/>
      <c r="G90" s="3" t="str">
        <f>INDEX('Brown-Universal mapping'!$B:$B,MATCH(D90,'Brown-Universal mapping'!$A:$A,0))</f>
        <v>.</v>
      </c>
      <c r="I90" s="5" t="s">
        <v>62</v>
      </c>
      <c r="J90" s="5" t="str">
        <f>INDEX('Brown tagset'!$B:$B,MATCH(IF(ISERROR(FIND("-",I90)),IF(ISERROR(FIND("+",I90)),I90,LEFT(I90,FIND("+",I90)-1)),LEFT(I90,FIND("-",I90)-1)),'Brown tagset'!$A:$A,0))</f>
        <v>comma</v>
      </c>
      <c r="K90" s="5" t="s">
        <v>38</v>
      </c>
      <c r="L90" s="5" t="str">
        <f>INDEX('Brown-Universal mapping'!$B:$B,MATCH(I90,'Brown-Universal mapping'!$A:$A,0))</f>
        <v>.</v>
      </c>
      <c r="M90" s="5">
        <f t="shared" si="11"/>
        <v>1</v>
      </c>
      <c r="N90" s="5">
        <f t="shared" si="12"/>
        <v>1</v>
      </c>
      <c r="P90" s="12" t="s">
        <v>62</v>
      </c>
      <c r="Q90" s="7" t="s">
        <v>62</v>
      </c>
      <c r="R90" s="7" t="str">
        <f>INDEX('Brown tagset'!$B:$B,MATCH(IF(ISERROR(FIND("-",Q90)),IF(ISERROR(FIND("+",Q90)),Q90,LEFT(Q90,FIND("+",Q90)-1)),LEFT(Q90,FIND("-",Q90)-1)),'Brown tagset'!$A:$A,0))</f>
        <v>comma</v>
      </c>
      <c r="S90" s="7"/>
      <c r="T90" s="7" t="str">
        <f>INDEX('Brown-Universal mapping'!$B:$B,MATCH(Q90,'Brown-Universal mapping'!$A:$A,0))</f>
        <v>.</v>
      </c>
      <c r="U90" s="7">
        <f t="shared" si="13"/>
        <v>1</v>
      </c>
      <c r="V90" s="7">
        <f t="shared" si="14"/>
        <v>1</v>
      </c>
      <c r="X90" s="12" t="s">
        <v>62</v>
      </c>
      <c r="Y90" s="7" t="s">
        <v>62</v>
      </c>
      <c r="Z90" s="7" t="str">
        <f>INDEX('Brown tagset'!$B:$B,MATCH(IF(ISERROR(FIND("-",Y90)),IF(ISERROR(FIND("+",Y90)),Y90,LEFT(Y90,FIND("+",Y90)-1)),LEFT(Y90,FIND("-",Y90)-1)),'Brown tagset'!$A:$A,0))</f>
        <v>comma</v>
      </c>
      <c r="AA90" s="7"/>
      <c r="AB90" s="7" t="str">
        <f>INDEX('Brown-Universal mapping'!$B:$B,MATCH(Y90,'Brown-Universal mapping'!$A:$A,0))</f>
        <v>.</v>
      </c>
      <c r="AC90" s="7">
        <f t="shared" si="17"/>
        <v>1</v>
      </c>
      <c r="AD90" s="7">
        <f t="shared" si="18"/>
        <v>1</v>
      </c>
      <c r="AF90" s="9" t="s">
        <v>62</v>
      </c>
      <c r="AG90" s="9" t="str">
        <f>INDEX('Brown tagset'!$B:$B,MATCH(IF(ISERROR(FIND("-",AF90)),IF(ISERROR(FIND("+",AF90)),AF90,LEFT(AF90,FIND("+",AF90)-1)),LEFT(AF90,FIND("-",AF90)-1)),'Brown tagset'!$A:$A,0))</f>
        <v>comma</v>
      </c>
      <c r="AH90" s="9" t="s">
        <v>38</v>
      </c>
      <c r="AI90" s="9" t="str">
        <f>INDEX('Brown-Universal mapping'!$B:$B,MATCH(AF90,'Brown-Universal mapping'!$A:$A,0))</f>
        <v>.</v>
      </c>
      <c r="AJ90" s="9">
        <f t="shared" si="15"/>
        <v>1</v>
      </c>
      <c r="AK90" s="9">
        <f t="shared" si="16"/>
        <v>1</v>
      </c>
      <c r="AM90" s="6">
        <f t="shared" si="19"/>
        <v>3</v>
      </c>
      <c r="AN90" s="6">
        <f t="shared" si="20"/>
        <v>3</v>
      </c>
      <c r="AP90" s="6" t="str">
        <f t="shared" si="21"/>
        <v>comma3</v>
      </c>
    </row>
    <row r="91" spans="1:42" x14ac:dyDescent="0.25">
      <c r="A91" s="29" t="s">
        <v>6</v>
      </c>
      <c r="B91" s="29"/>
      <c r="D91" s="3" t="s">
        <v>7</v>
      </c>
      <c r="E91" s="3" t="str">
        <f>INDEX('Brown tagset'!$B:$B,MATCH(IF(ISERROR(FIND("-",D91)),IF(ISERROR(FIND("+",D91)),D91,LEFT(D91,FIND("+",D91)-1)),LEFT(D91,FIND("-",D91)-1)),'Brown tagset'!$A:$A,0))</f>
        <v>article (a, the, no)</v>
      </c>
      <c r="F91" s="3"/>
      <c r="G91" s="3" t="str">
        <f>INDEX('Brown-Universal mapping'!$B:$B,MATCH(D91,'Brown-Universal mapping'!$A:$A,0))</f>
        <v>DET</v>
      </c>
      <c r="I91" s="5" t="s">
        <v>7</v>
      </c>
      <c r="J91" s="5" t="str">
        <f>INDEX('Brown tagset'!$B:$B,MATCH(IF(ISERROR(FIND("-",I91)),IF(ISERROR(FIND("+",I91)),I91,LEFT(I91,FIND("+",I91)-1)),LEFT(I91,FIND("-",I91)-1)),'Brown tagset'!$A:$A,0))</f>
        <v>article (a, the, no)</v>
      </c>
      <c r="K91" s="5" t="s">
        <v>2</v>
      </c>
      <c r="L91" s="5" t="str">
        <f>INDEX('Brown-Universal mapping'!$B:$B,MATCH(I91,'Brown-Universal mapping'!$A:$A,0))</f>
        <v>DET</v>
      </c>
      <c r="M91" s="5">
        <f t="shared" si="11"/>
        <v>1</v>
      </c>
      <c r="N91" s="5">
        <f t="shared" si="12"/>
        <v>1</v>
      </c>
      <c r="P91" s="12" t="s">
        <v>6</v>
      </c>
      <c r="Q91" s="7" t="s">
        <v>89</v>
      </c>
      <c r="R91" s="7" t="str">
        <f>INDEX('Brown tagset'!$B:$B,MATCH(IF(ISERROR(FIND("-",Q91)),IF(ISERROR(FIND("+",Q91)),Q91,LEFT(Q91,FIND("+",Q91)-1)),LEFT(Q91,FIND("-",Q91)-1)),'Brown tagset'!$A:$A,0))</f>
        <v>article (a, the, no)</v>
      </c>
      <c r="S91" s="7"/>
      <c r="T91" s="7" t="str">
        <f>INDEX('Brown-Universal mapping'!$B:$B,MATCH(Q91,'Brown-Universal mapping'!$A:$A,0))</f>
        <v>DET</v>
      </c>
      <c r="U91" s="7">
        <f t="shared" si="13"/>
        <v>1</v>
      </c>
      <c r="V91" s="7">
        <f t="shared" si="14"/>
        <v>1</v>
      </c>
      <c r="X91" s="12" t="s">
        <v>6</v>
      </c>
      <c r="Y91" s="7" t="s">
        <v>89</v>
      </c>
      <c r="Z91" s="7" t="str">
        <f>INDEX('Brown tagset'!$B:$B,MATCH(IF(ISERROR(FIND("-",Y91)),IF(ISERROR(FIND("+",Y91)),Y91,LEFT(Y91,FIND("+",Y91)-1)),LEFT(Y91,FIND("-",Y91)-1)),'Brown tagset'!$A:$A,0))</f>
        <v>article (a, the, no)</v>
      </c>
      <c r="AA91" s="7"/>
      <c r="AB91" s="7" t="str">
        <f>INDEX('Brown-Universal mapping'!$B:$B,MATCH(Y91,'Brown-Universal mapping'!$A:$A,0))</f>
        <v>DET</v>
      </c>
      <c r="AC91" s="7">
        <f t="shared" si="17"/>
        <v>1</v>
      </c>
      <c r="AD91" s="7">
        <f t="shared" si="18"/>
        <v>1</v>
      </c>
      <c r="AF91" s="9" t="s">
        <v>7</v>
      </c>
      <c r="AG91" s="9" t="str">
        <f>INDEX('Brown tagset'!$B:$B,MATCH(IF(ISERROR(FIND("-",AF91)),IF(ISERROR(FIND("+",AF91)),AF91,LEFT(AF91,FIND("+",AF91)-1)),LEFT(AF91,FIND("-",AF91)-1)),'Brown tagset'!$A:$A,0))</f>
        <v>article (a, the, no)</v>
      </c>
      <c r="AH91" s="9" t="s">
        <v>2</v>
      </c>
      <c r="AI91" s="9" t="str">
        <f>INDEX('Brown-Universal mapping'!$B:$B,MATCH(AF91,'Brown-Universal mapping'!$A:$A,0))</f>
        <v>DET</v>
      </c>
      <c r="AJ91" s="9">
        <f t="shared" si="15"/>
        <v>1</v>
      </c>
      <c r="AK91" s="9">
        <f t="shared" si="16"/>
        <v>1</v>
      </c>
      <c r="AM91" s="6">
        <f t="shared" si="19"/>
        <v>3</v>
      </c>
      <c r="AN91" s="6">
        <f t="shared" si="20"/>
        <v>3</v>
      </c>
      <c r="AP91" s="6" t="str">
        <f t="shared" si="21"/>
        <v>article (a, the, no)3</v>
      </c>
    </row>
    <row r="92" spans="1:42" x14ac:dyDescent="0.25">
      <c r="A92" s="28" t="s">
        <v>95</v>
      </c>
      <c r="B92" s="28"/>
      <c r="D92" s="3" t="s">
        <v>96</v>
      </c>
      <c r="E92" s="3" t="str">
        <f>INDEX('Brown tagset'!$B:$B,MATCH(IF(ISERROR(FIND("-",D92)),IF(ISERROR(FIND("+",D92)),D92,LEFT(D92,FIND("+",D92)-1)),LEFT(D92,FIND("-",D92)-1)),'Brown tagset'!$A:$A,0))</f>
        <v>singular or mass noun</v>
      </c>
      <c r="F92" s="3"/>
      <c r="G92" s="3" t="str">
        <f>INDEX('Brown-Universal mapping'!$B:$B,MATCH(D92,'Brown-Universal mapping'!$A:$A,0))</f>
        <v>PRT</v>
      </c>
      <c r="I92" s="5" t="s">
        <v>97</v>
      </c>
      <c r="J92" s="5" t="str">
        <f>INDEX('Brown tagset'!$B:$B,MATCH(IF(ISERROR(FIND("-",I92)),IF(ISERROR(FIND("+",I92)),I92,LEFT(I92,FIND("+",I92)-1)),LEFT(I92,FIND("-",I92)-1)),'Brown tagset'!$A:$A,0))</f>
        <v>possessive singular noun</v>
      </c>
      <c r="K92" s="5" t="s">
        <v>2</v>
      </c>
      <c r="L92" s="5" t="str">
        <f>INDEX('Brown-Universal mapping'!$B:$B,MATCH(I92,'Brown-Universal mapping'!$A:$A,0))</f>
        <v>NOUN</v>
      </c>
      <c r="M92" s="5">
        <f t="shared" si="11"/>
        <v>0</v>
      </c>
      <c r="N92" s="5">
        <f t="shared" si="12"/>
        <v>0</v>
      </c>
      <c r="P92" s="12" t="s">
        <v>310</v>
      </c>
      <c r="Q92" s="7" t="s">
        <v>289</v>
      </c>
      <c r="R92" s="7" t="str">
        <f>INDEX('Brown tagset'!$B:$B,MATCH(IF(ISERROR(FIND("-",Q92)),IF(ISERROR(FIND("+",Q92)),Q92,LEFT(Q92,FIND("+",Q92)-1)),LEFT(Q92,FIND("-",Q92)-1)),'Brown tagset'!$A:$A,0))</f>
        <v>singular or mass noun</v>
      </c>
      <c r="S92" s="7"/>
      <c r="T92" s="7" t="str">
        <f>INDEX('Brown-Universal mapping'!$B:$B,MATCH(Q92,'Brown-Universal mapping'!$A:$A,0))</f>
        <v>NOUN</v>
      </c>
      <c r="U92" s="7">
        <f t="shared" si="13"/>
        <v>0</v>
      </c>
      <c r="V92" s="7">
        <f t="shared" si="14"/>
        <v>0</v>
      </c>
      <c r="X92" s="12" t="s">
        <v>95</v>
      </c>
      <c r="Y92" s="7" t="s">
        <v>869</v>
      </c>
      <c r="Z92" s="7" t="str">
        <f>INDEX('Brown tagset'!$B:$B,MATCH(IF(ISERROR(FIND("-",Y92)),IF(ISERROR(FIND("+",Y92)),Y92,LEFT(Y92,FIND("+",Y92)-1)),LEFT(Y92,FIND("-",Y92)-1)),'Brown tagset'!$A:$A,0))</f>
        <v>possessive singular noun</v>
      </c>
      <c r="AA92" s="7"/>
      <c r="AB92" s="7" t="str">
        <f>INDEX('Brown-Universal mapping'!$B:$B,MATCH(Y92,'Brown-Universal mapping'!$A:$A,0))</f>
        <v>NOUN</v>
      </c>
      <c r="AC92" s="7">
        <f t="shared" si="17"/>
        <v>0</v>
      </c>
      <c r="AD92" s="7">
        <f t="shared" si="18"/>
        <v>0</v>
      </c>
      <c r="AF92" s="9" t="s">
        <v>340</v>
      </c>
      <c r="AG92" s="9" t="str">
        <f>INDEX('Brown tagset'!$B:$B,MATCH(IF(ISERROR(FIND("-",AF92)),IF(ISERROR(FIND("+",AF92)),AF92,LEFT(AF92,FIND("+",AF92)-1)),LEFT(AF92,FIND("-",AF92)-1)),'Brown tagset'!$A:$A,0))</f>
        <v>unknown</v>
      </c>
      <c r="AH92" s="9" t="s">
        <v>2</v>
      </c>
      <c r="AI92" s="9" t="str">
        <f>INDEX('Brown-Universal mapping'!$B:$B,MATCH(AF92,'Brown-Universal mapping'!$A:$A,0))</f>
        <v>Unknown</v>
      </c>
      <c r="AJ92" s="9">
        <f t="shared" si="15"/>
        <v>0</v>
      </c>
      <c r="AK92" s="9">
        <f t="shared" si="16"/>
        <v>0</v>
      </c>
      <c r="AM92" s="6">
        <f t="shared" si="19"/>
        <v>0</v>
      </c>
      <c r="AN92" s="6">
        <f t="shared" si="20"/>
        <v>0</v>
      </c>
      <c r="AP92" s="6" t="str">
        <f t="shared" si="21"/>
        <v>unknown0</v>
      </c>
    </row>
    <row r="93" spans="1:42" x14ac:dyDescent="0.25">
      <c r="A93" s="28" t="s">
        <v>98</v>
      </c>
      <c r="B93" s="28"/>
      <c r="D93" s="3" t="s">
        <v>99</v>
      </c>
      <c r="E93" s="3" t="str">
        <f>INDEX('Brown tagset'!$B:$B,MATCH(IF(ISERROR(FIND("-",D93)),IF(ISERROR(FIND("+",D93)),D93,LEFT(D93,FIND("+",D93)-1)),LEFT(D93,FIND("-",D93)-1)),'Brown tagset'!$A:$A,0))</f>
        <v>verb, past participle</v>
      </c>
      <c r="F93" s="3"/>
      <c r="G93" s="3" t="str">
        <f>INDEX('Brown-Universal mapping'!$B:$B,MATCH(D93,'Brown-Universal mapping'!$A:$A,0))</f>
        <v>VERB</v>
      </c>
      <c r="I93" s="5" t="s">
        <v>12</v>
      </c>
      <c r="J93" s="5" t="str">
        <f>INDEX('Brown tagset'!$B:$B,MATCH(IF(ISERROR(FIND("-",I93)),IF(ISERROR(FIND("+",I93)),I93,LEFT(I93,FIND("+",I93)-1)),LEFT(I93,FIND("-",I93)-1)),'Brown tagset'!$A:$A,0))</f>
        <v>singular or mass noun</v>
      </c>
      <c r="K93" s="5" t="s">
        <v>13</v>
      </c>
      <c r="L93" s="5" t="str">
        <f>INDEX('Brown-Universal mapping'!$B:$B,MATCH(I93,'Brown-Universal mapping'!$A:$A,0))</f>
        <v>NOUN</v>
      </c>
      <c r="M93" s="5">
        <f t="shared" si="11"/>
        <v>0</v>
      </c>
      <c r="N93" s="5">
        <f t="shared" si="12"/>
        <v>0</v>
      </c>
      <c r="P93" s="12" t="s">
        <v>311</v>
      </c>
      <c r="Q93" s="7" t="s">
        <v>312</v>
      </c>
      <c r="R93" s="7" t="str">
        <f>INDEX('Brown tagset'!$B:$B,MATCH(IF(ISERROR(FIND("-",Q93)),IF(ISERROR(FIND("+",Q93)),Q93,LEFT(Q93,FIND("+",Q93)-1)),LEFT(Q93,FIND("-",Q93)-1)),'Brown tagset'!$A:$A,0))</f>
        <v>verb, past tense</v>
      </c>
      <c r="S93" s="7"/>
      <c r="T93" s="7" t="str">
        <f>INDEX('Brown-Universal mapping'!$B:$B,MATCH(Q93,'Brown-Universal mapping'!$A:$A,0))</f>
        <v>VERB</v>
      </c>
      <c r="U93" s="7">
        <f t="shared" si="13"/>
        <v>0</v>
      </c>
      <c r="V93" s="7">
        <f t="shared" si="14"/>
        <v>1</v>
      </c>
      <c r="X93" s="12" t="s">
        <v>98</v>
      </c>
      <c r="Y93" s="7" t="s">
        <v>289</v>
      </c>
      <c r="Z93" s="7" t="str">
        <f>INDEX('Brown tagset'!$B:$B,MATCH(IF(ISERROR(FIND("-",Y93)),IF(ISERROR(FIND("+",Y93)),Y93,LEFT(Y93,FIND("+",Y93)-1)),LEFT(Y93,FIND("-",Y93)-1)),'Brown tagset'!$A:$A,0))</f>
        <v>singular or mass noun</v>
      </c>
      <c r="AA93" s="7"/>
      <c r="AB93" s="7" t="str">
        <f>INDEX('Brown-Universal mapping'!$B:$B,MATCH(Y93,'Brown-Universal mapping'!$A:$A,0))</f>
        <v>NOUN</v>
      </c>
      <c r="AC93" s="7">
        <f t="shared" si="17"/>
        <v>0</v>
      </c>
      <c r="AD93" s="7">
        <f t="shared" si="18"/>
        <v>0</v>
      </c>
      <c r="AF93" s="9" t="s">
        <v>340</v>
      </c>
      <c r="AG93" s="9" t="str">
        <f>INDEX('Brown tagset'!$B:$B,MATCH(IF(ISERROR(FIND("-",AF93)),IF(ISERROR(FIND("+",AF93)),AF93,LEFT(AF93,FIND("+",AF93)-1)),LEFT(AF93,FIND("-",AF93)-1)),'Brown tagset'!$A:$A,0))</f>
        <v>unknown</v>
      </c>
      <c r="AH93" s="9" t="s">
        <v>2</v>
      </c>
      <c r="AI93" s="9" t="str">
        <f>INDEX('Brown-Universal mapping'!$B:$B,MATCH(AF93,'Brown-Universal mapping'!$A:$A,0))</f>
        <v>Unknown</v>
      </c>
      <c r="AJ93" s="9">
        <f t="shared" si="15"/>
        <v>0</v>
      </c>
      <c r="AK93" s="9">
        <f t="shared" si="16"/>
        <v>0</v>
      </c>
      <c r="AM93" s="6">
        <f t="shared" si="19"/>
        <v>0</v>
      </c>
      <c r="AN93" s="6">
        <f t="shared" si="20"/>
        <v>0</v>
      </c>
      <c r="AP93" s="6" t="str">
        <f t="shared" si="21"/>
        <v>unknown0</v>
      </c>
    </row>
    <row r="94" spans="1:42" x14ac:dyDescent="0.25">
      <c r="A94" s="29" t="s">
        <v>100</v>
      </c>
      <c r="B94" s="29"/>
      <c r="D94" s="3" t="s">
        <v>101</v>
      </c>
      <c r="E94" s="3" t="str">
        <f>INDEX('Brown tagset'!$B:$B,MATCH(IF(ISERROR(FIND("-",D94)),IF(ISERROR(FIND("+",D94)),D94,LEFT(D94,FIND("+",D94)-1)),LEFT(D94,FIND("-",D94)-1)),'Brown tagset'!$A:$A,0))</f>
        <v>have</v>
      </c>
      <c r="F94" s="3"/>
      <c r="G94" s="3" t="str">
        <f>INDEX('Brown-Universal mapping'!$B:$B,MATCH(D94,'Brown-Universal mapping'!$A:$A,0))</f>
        <v>VERB</v>
      </c>
      <c r="I94" s="5" t="s">
        <v>101</v>
      </c>
      <c r="J94" s="5" t="str">
        <f>INDEX('Brown tagset'!$B:$B,MATCH(IF(ISERROR(FIND("-",I94)),IF(ISERROR(FIND("+",I94)),I94,LEFT(I94,FIND("+",I94)-1)),LEFT(I94,FIND("-",I94)-1)),'Brown tagset'!$A:$A,0))</f>
        <v>have</v>
      </c>
      <c r="K94" s="5" t="s">
        <v>2</v>
      </c>
      <c r="L94" s="5" t="str">
        <f>INDEX('Brown-Universal mapping'!$B:$B,MATCH(I94,'Brown-Universal mapping'!$A:$A,0))</f>
        <v>VERB</v>
      </c>
      <c r="M94" s="5">
        <f t="shared" si="11"/>
        <v>1</v>
      </c>
      <c r="N94" s="5">
        <f t="shared" si="12"/>
        <v>1</v>
      </c>
      <c r="P94" s="12" t="s">
        <v>100</v>
      </c>
      <c r="Q94" s="7" t="s">
        <v>313</v>
      </c>
      <c r="R94" s="7" t="str">
        <f>INDEX('Brown tagset'!$B:$B,MATCH(IF(ISERROR(FIND("-",Q94)),IF(ISERROR(FIND("+",Q94)),Q94,LEFT(Q94,FIND("+",Q94)-1)),LEFT(Q94,FIND("-",Q94)-1)),'Brown tagset'!$A:$A,0))</f>
        <v>have</v>
      </c>
      <c r="S94" s="7"/>
      <c r="T94" s="7" t="str">
        <f>INDEX('Brown-Universal mapping'!$B:$B,MATCH(Q94,'Brown-Universal mapping'!$A:$A,0))</f>
        <v>VERB</v>
      </c>
      <c r="U94" s="7">
        <f t="shared" si="13"/>
        <v>1</v>
      </c>
      <c r="V94" s="7">
        <f t="shared" si="14"/>
        <v>1</v>
      </c>
      <c r="X94" s="12" t="s">
        <v>100</v>
      </c>
      <c r="Y94" s="7" t="s">
        <v>313</v>
      </c>
      <c r="Z94" s="7" t="str">
        <f>INDEX('Brown tagset'!$B:$B,MATCH(IF(ISERROR(FIND("-",Y94)),IF(ISERROR(FIND("+",Y94)),Y94,LEFT(Y94,FIND("+",Y94)-1)),LEFT(Y94,FIND("-",Y94)-1)),'Brown tagset'!$A:$A,0))</f>
        <v>have</v>
      </c>
      <c r="AA94" s="7"/>
      <c r="AB94" s="7" t="str">
        <f>INDEX('Brown-Universal mapping'!$B:$B,MATCH(Y94,'Brown-Universal mapping'!$A:$A,0))</f>
        <v>VERB</v>
      </c>
      <c r="AC94" s="7">
        <f t="shared" si="17"/>
        <v>1</v>
      </c>
      <c r="AD94" s="7">
        <f t="shared" si="18"/>
        <v>1</v>
      </c>
      <c r="AF94" s="9" t="s">
        <v>101</v>
      </c>
      <c r="AG94" s="9" t="str">
        <f>INDEX('Brown tagset'!$B:$B,MATCH(IF(ISERROR(FIND("-",AF94)),IF(ISERROR(FIND("+",AF94)),AF94,LEFT(AF94,FIND("+",AF94)-1)),LEFT(AF94,FIND("-",AF94)-1)),'Brown tagset'!$A:$A,0))</f>
        <v>have</v>
      </c>
      <c r="AH94" s="9" t="s">
        <v>2</v>
      </c>
      <c r="AI94" s="9" t="str">
        <f>INDEX('Brown-Universal mapping'!$B:$B,MATCH(AF94,'Brown-Universal mapping'!$A:$A,0))</f>
        <v>VERB</v>
      </c>
      <c r="AJ94" s="9">
        <f t="shared" si="15"/>
        <v>1</v>
      </c>
      <c r="AK94" s="9">
        <f t="shared" si="16"/>
        <v>1</v>
      </c>
      <c r="AM94" s="6">
        <f t="shared" si="19"/>
        <v>3</v>
      </c>
      <c r="AN94" s="6">
        <f t="shared" si="20"/>
        <v>3</v>
      </c>
      <c r="AP94" s="6" t="str">
        <f t="shared" si="21"/>
        <v>have3</v>
      </c>
    </row>
    <row r="95" spans="1:42" x14ac:dyDescent="0.25">
      <c r="A95" s="29" t="s">
        <v>6</v>
      </c>
      <c r="B95" s="29"/>
      <c r="D95" s="3" t="s">
        <v>7</v>
      </c>
      <c r="E95" s="3" t="str">
        <f>INDEX('Brown tagset'!$B:$B,MATCH(IF(ISERROR(FIND("-",D95)),IF(ISERROR(FIND("+",D95)),D95,LEFT(D95,FIND("+",D95)-1)),LEFT(D95,FIND("-",D95)-1)),'Brown tagset'!$A:$A,0))</f>
        <v>article (a, the, no)</v>
      </c>
      <c r="F95" s="3"/>
      <c r="G95" s="3" t="str">
        <f>INDEX('Brown-Universal mapping'!$B:$B,MATCH(D95,'Brown-Universal mapping'!$A:$A,0))</f>
        <v>DET</v>
      </c>
      <c r="I95" s="5" t="s">
        <v>7</v>
      </c>
      <c r="J95" s="5" t="str">
        <f>INDEX('Brown tagset'!$B:$B,MATCH(IF(ISERROR(FIND("-",I95)),IF(ISERROR(FIND("+",I95)),I95,LEFT(I95,FIND("+",I95)-1)),LEFT(I95,FIND("-",I95)-1)),'Brown tagset'!$A:$A,0))</f>
        <v>article (a, the, no)</v>
      </c>
      <c r="K95" s="5" t="s">
        <v>2</v>
      </c>
      <c r="L95" s="5" t="str">
        <f>INDEX('Brown-Universal mapping'!$B:$B,MATCH(I95,'Brown-Universal mapping'!$A:$A,0))</f>
        <v>DET</v>
      </c>
      <c r="M95" s="5">
        <f t="shared" si="11"/>
        <v>1</v>
      </c>
      <c r="N95" s="5">
        <f t="shared" si="12"/>
        <v>1</v>
      </c>
      <c r="P95" s="12" t="s">
        <v>6</v>
      </c>
      <c r="Q95" s="7" t="s">
        <v>89</v>
      </c>
      <c r="R95" s="7" t="str">
        <f>INDEX('Brown tagset'!$B:$B,MATCH(IF(ISERROR(FIND("-",Q95)),IF(ISERROR(FIND("+",Q95)),Q95,LEFT(Q95,FIND("+",Q95)-1)),LEFT(Q95,FIND("-",Q95)-1)),'Brown tagset'!$A:$A,0))</f>
        <v>article (a, the, no)</v>
      </c>
      <c r="S95" s="7"/>
      <c r="T95" s="7" t="str">
        <f>INDEX('Brown-Universal mapping'!$B:$B,MATCH(Q95,'Brown-Universal mapping'!$A:$A,0))</f>
        <v>DET</v>
      </c>
      <c r="U95" s="7">
        <f t="shared" si="13"/>
        <v>1</v>
      </c>
      <c r="V95" s="7">
        <f t="shared" si="14"/>
        <v>1</v>
      </c>
      <c r="X95" s="12" t="s">
        <v>6</v>
      </c>
      <c r="Y95" s="7" t="s">
        <v>89</v>
      </c>
      <c r="Z95" s="7" t="str">
        <f>INDEX('Brown tagset'!$B:$B,MATCH(IF(ISERROR(FIND("-",Y95)),IF(ISERROR(FIND("+",Y95)),Y95,LEFT(Y95,FIND("+",Y95)-1)),LEFT(Y95,FIND("-",Y95)-1)),'Brown tagset'!$A:$A,0))</f>
        <v>article (a, the, no)</v>
      </c>
      <c r="AA95" s="7"/>
      <c r="AB95" s="7" t="str">
        <f>INDEX('Brown-Universal mapping'!$B:$B,MATCH(Y95,'Brown-Universal mapping'!$A:$A,0))</f>
        <v>DET</v>
      </c>
      <c r="AC95" s="7">
        <f t="shared" si="17"/>
        <v>1</v>
      </c>
      <c r="AD95" s="7">
        <f t="shared" si="18"/>
        <v>1</v>
      </c>
      <c r="AF95" s="9" t="s">
        <v>7</v>
      </c>
      <c r="AG95" s="9" t="str">
        <f>INDEX('Brown tagset'!$B:$B,MATCH(IF(ISERROR(FIND("-",AF95)),IF(ISERROR(FIND("+",AF95)),AF95,LEFT(AF95,FIND("+",AF95)-1)),LEFT(AF95,FIND("-",AF95)-1)),'Brown tagset'!$A:$A,0))</f>
        <v>article (a, the, no)</v>
      </c>
      <c r="AH95" s="9" t="s">
        <v>2</v>
      </c>
      <c r="AI95" s="9" t="str">
        <f>INDEX('Brown-Universal mapping'!$B:$B,MATCH(AF95,'Brown-Universal mapping'!$A:$A,0))</f>
        <v>DET</v>
      </c>
      <c r="AJ95" s="9">
        <f t="shared" si="15"/>
        <v>1</v>
      </c>
      <c r="AK95" s="9">
        <f t="shared" si="16"/>
        <v>1</v>
      </c>
      <c r="AM95" s="6">
        <f t="shared" si="19"/>
        <v>3</v>
      </c>
      <c r="AN95" s="6">
        <f t="shared" si="20"/>
        <v>3</v>
      </c>
      <c r="AP95" s="6" t="str">
        <f t="shared" si="21"/>
        <v>article (a, the, no)3</v>
      </c>
    </row>
    <row r="96" spans="1:42" x14ac:dyDescent="0.25">
      <c r="A96" s="4" t="s">
        <v>102</v>
      </c>
      <c r="D96" s="3" t="s">
        <v>103</v>
      </c>
      <c r="E96" s="3" t="str">
        <f>INDEX('Brown tagset'!$B:$B,MATCH(IF(ISERROR(FIND("-",D96)),IF(ISERROR(FIND("+",D96)),D96,LEFT(D96,FIND("+",D96)-1)),LEFT(D96,FIND("-",D96)-1)),'Brown tagset'!$A:$A,0))</f>
        <v>post-determiner (many, several, next)</v>
      </c>
      <c r="F96" s="3"/>
      <c r="G96" s="3" t="str">
        <f>INDEX('Brown-Universal mapping'!$B:$B,MATCH(D96,'Brown-Universal mapping'!$A:$A,0))</f>
        <v>ADJ</v>
      </c>
      <c r="I96" s="5" t="s">
        <v>1</v>
      </c>
      <c r="J96" s="5" t="str">
        <f>INDEX('Brown tagset'!$B:$B,MATCH(IF(ISERROR(FIND("-",I96)),IF(ISERROR(FIND("+",I96)),I96,LEFT(I96,FIND("+",I96)-1)),LEFT(I96,FIND("-",I96)-1)),'Brown tagset'!$A:$A,0))</f>
        <v>qualifier (very, fairly)</v>
      </c>
      <c r="K96" s="5" t="s">
        <v>2</v>
      </c>
      <c r="L96" s="5" t="str">
        <f>INDEX('Brown-Universal mapping'!$B:$B,MATCH(I96,'Brown-Universal mapping'!$A:$A,0))</f>
        <v>ADV</v>
      </c>
      <c r="M96" s="5">
        <f t="shared" si="11"/>
        <v>0</v>
      </c>
      <c r="N96" s="5">
        <f t="shared" si="12"/>
        <v>0</v>
      </c>
      <c r="P96" s="12" t="s">
        <v>102</v>
      </c>
      <c r="Q96" s="7" t="s">
        <v>299</v>
      </c>
      <c r="R96" s="7" t="str">
        <f>INDEX('Brown tagset'!$B:$B,MATCH(IF(ISERROR(FIND("-",Q96)),IF(ISERROR(FIND("+",Q96)),Q96,LEFT(Q96,FIND("+",Q96)-1)),LEFT(Q96,FIND("-",Q96)-1)),'Brown tagset'!$A:$A,0))</f>
        <v>adjective</v>
      </c>
      <c r="S96" s="7"/>
      <c r="T96" s="7" t="str">
        <f>INDEX('Brown-Universal mapping'!$B:$B,MATCH(Q96,'Brown-Universal mapping'!$A:$A,0))</f>
        <v>ADJ</v>
      </c>
      <c r="U96" s="7">
        <f t="shared" si="13"/>
        <v>0</v>
      </c>
      <c r="V96" s="7">
        <f t="shared" si="14"/>
        <v>1</v>
      </c>
      <c r="X96" s="12" t="s">
        <v>102</v>
      </c>
      <c r="Y96" s="7" t="s">
        <v>299</v>
      </c>
      <c r="Z96" s="7" t="str">
        <f>INDEX('Brown tagset'!$B:$B,MATCH(IF(ISERROR(FIND("-",Y96)),IF(ISERROR(FIND("+",Y96)),Y96,LEFT(Y96,FIND("+",Y96)-1)),LEFT(Y96,FIND("-",Y96)-1)),'Brown tagset'!$A:$A,0))</f>
        <v>adjective</v>
      </c>
      <c r="AA96" s="7"/>
      <c r="AB96" s="7" t="str">
        <f>INDEX('Brown-Universal mapping'!$B:$B,MATCH(Y96,'Brown-Universal mapping'!$A:$A,0))</f>
        <v>ADJ</v>
      </c>
      <c r="AC96" s="7">
        <f t="shared" si="17"/>
        <v>0</v>
      </c>
      <c r="AD96" s="7">
        <f t="shared" si="18"/>
        <v>1</v>
      </c>
      <c r="AF96" s="9" t="s">
        <v>45</v>
      </c>
      <c r="AG96" s="9" t="str">
        <f>INDEX('Brown tagset'!$B:$B,MATCH(IF(ISERROR(FIND("-",AF96)),IF(ISERROR(FIND("+",AF96)),AF96,LEFT(AF96,FIND("+",AF96)-1)),LEFT(AF96,FIND("-",AF96)-1)),'Brown tagset'!$A:$A,0))</f>
        <v>adjective</v>
      </c>
      <c r="AH96" s="9" t="s">
        <v>46</v>
      </c>
      <c r="AI96" s="9" t="str">
        <f>INDEX('Brown-Universal mapping'!$B:$B,MATCH(AF96,'Brown-Universal mapping'!$A:$A,0))</f>
        <v>ADJ</v>
      </c>
      <c r="AJ96" s="9">
        <f t="shared" si="15"/>
        <v>0</v>
      </c>
      <c r="AK96" s="9">
        <f t="shared" si="16"/>
        <v>1</v>
      </c>
      <c r="AM96" s="6">
        <f t="shared" si="19"/>
        <v>0</v>
      </c>
      <c r="AN96" s="6">
        <f t="shared" si="20"/>
        <v>2</v>
      </c>
      <c r="AP96" s="6" t="str">
        <f t="shared" si="21"/>
        <v>adjective0</v>
      </c>
    </row>
    <row r="97" spans="1:42" x14ac:dyDescent="0.25">
      <c r="A97" s="29" t="s">
        <v>104</v>
      </c>
      <c r="B97" s="29"/>
      <c r="D97" s="3" t="s">
        <v>12</v>
      </c>
      <c r="E97" s="3" t="str">
        <f>INDEX('Brown tagset'!$B:$B,MATCH(IF(ISERROR(FIND("-",D97)),IF(ISERROR(FIND("+",D97)),D97,LEFT(D97,FIND("+",D97)-1)),LEFT(D97,FIND("-",D97)-1)),'Brown tagset'!$A:$A,0))</f>
        <v>singular or mass noun</v>
      </c>
      <c r="F97" s="3"/>
      <c r="G97" s="3" t="str">
        <f>INDEX('Brown-Universal mapping'!$B:$B,MATCH(D97,'Brown-Universal mapping'!$A:$A,0))</f>
        <v>NOUN</v>
      </c>
      <c r="I97" s="5" t="s">
        <v>12</v>
      </c>
      <c r="J97" s="5" t="str">
        <f>INDEX('Brown tagset'!$B:$B,MATCH(IF(ISERROR(FIND("-",I97)),IF(ISERROR(FIND("+",I97)),I97,LEFT(I97,FIND("+",I97)-1)),LEFT(I97,FIND("-",I97)-1)),'Brown tagset'!$A:$A,0))</f>
        <v>singular or mass noun</v>
      </c>
      <c r="K97" s="5" t="s">
        <v>13</v>
      </c>
      <c r="L97" s="5" t="str">
        <f>INDEX('Brown-Universal mapping'!$B:$B,MATCH(I97,'Brown-Universal mapping'!$A:$A,0))</f>
        <v>NOUN</v>
      </c>
      <c r="M97" s="5">
        <f t="shared" si="11"/>
        <v>1</v>
      </c>
      <c r="N97" s="5">
        <f t="shared" si="12"/>
        <v>1</v>
      </c>
      <c r="P97" s="12" t="s">
        <v>104</v>
      </c>
      <c r="Q97" s="7" t="s">
        <v>289</v>
      </c>
      <c r="R97" s="7" t="str">
        <f>INDEX('Brown tagset'!$B:$B,MATCH(IF(ISERROR(FIND("-",Q97)),IF(ISERROR(FIND("+",Q97)),Q97,LEFT(Q97,FIND("+",Q97)-1)),LEFT(Q97,FIND("-",Q97)-1)),'Brown tagset'!$A:$A,0))</f>
        <v>singular or mass noun</v>
      </c>
      <c r="S97" s="7"/>
      <c r="T97" s="7" t="str">
        <f>INDEX('Brown-Universal mapping'!$B:$B,MATCH(Q97,'Brown-Universal mapping'!$A:$A,0))</f>
        <v>NOUN</v>
      </c>
      <c r="U97" s="7">
        <f t="shared" si="13"/>
        <v>1</v>
      </c>
      <c r="V97" s="7">
        <f t="shared" si="14"/>
        <v>1</v>
      </c>
      <c r="X97" s="12" t="s">
        <v>104</v>
      </c>
      <c r="Y97" s="7" t="s">
        <v>289</v>
      </c>
      <c r="Z97" s="7" t="str">
        <f>INDEX('Brown tagset'!$B:$B,MATCH(IF(ISERROR(FIND("-",Y97)),IF(ISERROR(FIND("+",Y97)),Y97,LEFT(Y97,FIND("+",Y97)-1)),LEFT(Y97,FIND("-",Y97)-1)),'Brown tagset'!$A:$A,0))</f>
        <v>singular or mass noun</v>
      </c>
      <c r="AA97" s="7"/>
      <c r="AB97" s="7" t="str">
        <f>INDEX('Brown-Universal mapping'!$B:$B,MATCH(Y97,'Brown-Universal mapping'!$A:$A,0))</f>
        <v>NOUN</v>
      </c>
      <c r="AC97" s="7">
        <f t="shared" si="17"/>
        <v>1</v>
      </c>
      <c r="AD97" s="7">
        <f t="shared" si="18"/>
        <v>1</v>
      </c>
      <c r="AF97" s="9" t="s">
        <v>12</v>
      </c>
      <c r="AG97" s="9" t="str">
        <f>INDEX('Brown tagset'!$B:$B,MATCH(IF(ISERROR(FIND("-",AF97)),IF(ISERROR(FIND("+",AF97)),AF97,LEFT(AF97,FIND("+",AF97)-1)),LEFT(AF97,FIND("-",AF97)-1)),'Brown tagset'!$A:$A,0))</f>
        <v>singular or mass noun</v>
      </c>
      <c r="AH97" s="9" t="s">
        <v>13</v>
      </c>
      <c r="AI97" s="9" t="str">
        <f>INDEX('Brown-Universal mapping'!$B:$B,MATCH(AF97,'Brown-Universal mapping'!$A:$A,0))</f>
        <v>NOUN</v>
      </c>
      <c r="AJ97" s="9">
        <f t="shared" si="15"/>
        <v>1</v>
      </c>
      <c r="AK97" s="9">
        <f t="shared" si="16"/>
        <v>1</v>
      </c>
      <c r="AM97" s="6">
        <f t="shared" si="19"/>
        <v>3</v>
      </c>
      <c r="AN97" s="6">
        <f t="shared" si="20"/>
        <v>3</v>
      </c>
      <c r="AP97" s="6" t="str">
        <f t="shared" si="21"/>
        <v>singular or mass noun3</v>
      </c>
    </row>
    <row r="98" spans="1:42" x14ac:dyDescent="0.25">
      <c r="A98" s="29" t="s">
        <v>105</v>
      </c>
      <c r="B98" s="29"/>
      <c r="D98" s="3" t="s">
        <v>38</v>
      </c>
      <c r="E98" s="3" t="str">
        <f>INDEX('Brown tagset'!$B:$B,MATCH(IF(ISERROR(FIND("-",D98)),IF(ISERROR(FIND("+",D98)),D98,LEFT(D98,FIND("+",D98)-1)),LEFT(D98,FIND("-",D98)-1)),'Brown tagset'!$A:$A,0))</f>
        <v>sentence (. ; ? *)</v>
      </c>
      <c r="F98" s="3"/>
      <c r="G98" s="3" t="str">
        <f>INDEX('Brown-Universal mapping'!$B:$B,MATCH(D98,'Brown-Universal mapping'!$A:$A,0))</f>
        <v>.</v>
      </c>
      <c r="I98" s="5" t="s">
        <v>38</v>
      </c>
      <c r="J98" s="5" t="str">
        <f>INDEX('Brown tagset'!$B:$B,MATCH(IF(ISERROR(FIND("-",I98)),IF(ISERROR(FIND("+",I98)),I98,LEFT(I98,FIND("+",I98)-1)),LEFT(I98,FIND("-",I98)-1)),'Brown tagset'!$A:$A,0))</f>
        <v>sentence (. ; ? *)</v>
      </c>
      <c r="K98" s="5" t="s">
        <v>38</v>
      </c>
      <c r="L98" s="5" t="str">
        <f>INDEX('Brown-Universal mapping'!$B:$B,MATCH(I98,'Brown-Universal mapping'!$A:$A,0))</f>
        <v>.</v>
      </c>
      <c r="M98" s="5">
        <f t="shared" si="11"/>
        <v>1</v>
      </c>
      <c r="N98" s="5">
        <f t="shared" si="12"/>
        <v>1</v>
      </c>
      <c r="P98" s="12" t="s">
        <v>105</v>
      </c>
      <c r="Q98" s="7" t="s">
        <v>38</v>
      </c>
      <c r="R98" s="7" t="str">
        <f>INDEX('Brown tagset'!$B:$B,MATCH(IF(ISERROR(FIND("-",Q98)),IF(ISERROR(FIND("+",Q98)),Q98,LEFT(Q98,FIND("+",Q98)-1)),LEFT(Q98,FIND("-",Q98)-1)),'Brown tagset'!$A:$A,0))</f>
        <v>sentence (. ; ? *)</v>
      </c>
      <c r="S98" s="7"/>
      <c r="T98" s="7" t="str">
        <f>INDEX('Brown-Universal mapping'!$B:$B,MATCH(Q98,'Brown-Universal mapping'!$A:$A,0))</f>
        <v>.</v>
      </c>
      <c r="U98" s="7">
        <f t="shared" si="13"/>
        <v>1</v>
      </c>
      <c r="V98" s="7">
        <f t="shared" si="14"/>
        <v>1</v>
      </c>
      <c r="X98" s="12" t="s">
        <v>105</v>
      </c>
      <c r="Y98" s="7" t="s">
        <v>38</v>
      </c>
      <c r="Z98" s="7" t="str">
        <f>INDEX('Brown tagset'!$B:$B,MATCH(IF(ISERROR(FIND("-",Y98)),IF(ISERROR(FIND("+",Y98)),Y98,LEFT(Y98,FIND("+",Y98)-1)),LEFT(Y98,FIND("-",Y98)-1)),'Brown tagset'!$A:$A,0))</f>
        <v>sentence (. ; ? *)</v>
      </c>
      <c r="AA98" s="7"/>
      <c r="AB98" s="7" t="str">
        <f>INDEX('Brown-Universal mapping'!$B:$B,MATCH(Y98,'Brown-Universal mapping'!$A:$A,0))</f>
        <v>.</v>
      </c>
      <c r="AC98" s="7">
        <f t="shared" si="17"/>
        <v>1</v>
      </c>
      <c r="AD98" s="7">
        <f t="shared" si="18"/>
        <v>1</v>
      </c>
      <c r="AF98" s="9" t="s">
        <v>38</v>
      </c>
      <c r="AG98" s="9" t="str">
        <f>INDEX('Brown tagset'!$B:$B,MATCH(IF(ISERROR(FIND("-",AF98)),IF(ISERROR(FIND("+",AF98)),AF98,LEFT(AF98,FIND("+",AF98)-1)),LEFT(AF98,FIND("-",AF98)-1)),'Brown tagset'!$A:$A,0))</f>
        <v>sentence (. ; ? *)</v>
      </c>
      <c r="AH98" s="9" t="s">
        <v>38</v>
      </c>
      <c r="AI98" s="9" t="str">
        <f>INDEX('Brown-Universal mapping'!$B:$B,MATCH(AF98,'Brown-Universal mapping'!$A:$A,0))</f>
        <v>.</v>
      </c>
      <c r="AJ98" s="9">
        <f t="shared" si="15"/>
        <v>1</v>
      </c>
      <c r="AK98" s="9">
        <f t="shared" si="16"/>
        <v>1</v>
      </c>
      <c r="AM98" s="6">
        <f t="shared" si="19"/>
        <v>3</v>
      </c>
      <c r="AN98" s="6">
        <f t="shared" si="20"/>
        <v>3</v>
      </c>
      <c r="AP98" s="6" t="str">
        <f t="shared" si="21"/>
        <v>sentence (. ; ? *)3</v>
      </c>
    </row>
    <row r="99" spans="1:42" x14ac:dyDescent="0.25">
      <c r="A99" s="29" t="s">
        <v>106</v>
      </c>
      <c r="B99" s="29"/>
      <c r="C99" s="4">
        <v>1</v>
      </c>
      <c r="D99" s="3" t="s">
        <v>4</v>
      </c>
      <c r="E99" s="3" t="str">
        <f>INDEX('Brown tagset'!$B:$B,MATCH(IF(ISERROR(FIND("-",D99)),IF(ISERROR(FIND("+",D99)),D99,LEFT(D99,FIND("+",D99)-1)),LEFT(D99,FIND("-",D99)-1)),'Brown tagset'!$A:$A,0))</f>
        <v>adverb</v>
      </c>
      <c r="F99" s="3"/>
      <c r="G99" s="3" t="str">
        <f>INDEX('Brown-Universal mapping'!$B:$B,MATCH(D99,'Brown-Universal mapping'!$A:$A,0))</f>
        <v>ADV</v>
      </c>
      <c r="I99" s="5" t="s">
        <v>4</v>
      </c>
      <c r="J99" s="5" t="str">
        <f>INDEX('Brown tagset'!$B:$B,MATCH(IF(ISERROR(FIND("-",I99)),IF(ISERROR(FIND("+",I99)),I99,LEFT(I99,FIND("+",I99)-1)),LEFT(I99,FIND("-",I99)-1)),'Brown tagset'!$A:$A,0))</f>
        <v>adverb</v>
      </c>
      <c r="K99" s="5" t="s">
        <v>5</v>
      </c>
      <c r="L99" s="5" t="str">
        <f>INDEX('Brown-Universal mapping'!$B:$B,MATCH(I99,'Brown-Universal mapping'!$A:$A,0))</f>
        <v>ADV</v>
      </c>
      <c r="M99" s="5">
        <f t="shared" si="11"/>
        <v>1</v>
      </c>
      <c r="N99" s="5">
        <f t="shared" si="12"/>
        <v>1</v>
      </c>
      <c r="P99" s="12" t="s">
        <v>106</v>
      </c>
      <c r="Q99" s="7" t="s">
        <v>288</v>
      </c>
      <c r="R99" s="7" t="str">
        <f>INDEX('Brown tagset'!$B:$B,MATCH(IF(ISERROR(FIND("-",Q99)),IF(ISERROR(FIND("+",Q99)),Q99,LEFT(Q99,FIND("+",Q99)-1)),LEFT(Q99,FIND("-",Q99)-1)),'Brown tagset'!$A:$A,0))</f>
        <v>adverb</v>
      </c>
      <c r="S99" s="7"/>
      <c r="T99" s="7" t="str">
        <f>INDEX('Brown-Universal mapping'!$B:$B,MATCH(Q99,'Brown-Universal mapping'!$A:$A,0))</f>
        <v>ADV</v>
      </c>
      <c r="U99" s="7">
        <f t="shared" si="13"/>
        <v>1</v>
      </c>
      <c r="V99" s="7">
        <f t="shared" si="14"/>
        <v>1</v>
      </c>
      <c r="X99" s="12" t="s">
        <v>106</v>
      </c>
      <c r="Y99" s="7" t="s">
        <v>288</v>
      </c>
      <c r="Z99" s="7" t="str">
        <f>INDEX('Brown tagset'!$B:$B,MATCH(IF(ISERROR(FIND("-",Y99)),IF(ISERROR(FIND("+",Y99)),Y99,LEFT(Y99,FIND("+",Y99)-1)),LEFT(Y99,FIND("-",Y99)-1)),'Brown tagset'!$A:$A,0))</f>
        <v>adverb</v>
      </c>
      <c r="AA99" s="7"/>
      <c r="AB99" s="7" t="str">
        <f>INDEX('Brown-Universal mapping'!$B:$B,MATCH(Y99,'Brown-Universal mapping'!$A:$A,0))</f>
        <v>ADV</v>
      </c>
      <c r="AC99" s="7">
        <f t="shared" si="17"/>
        <v>1</v>
      </c>
      <c r="AD99" s="7">
        <f t="shared" si="18"/>
        <v>1</v>
      </c>
      <c r="AF99" s="9" t="s">
        <v>4</v>
      </c>
      <c r="AG99" s="9" t="str">
        <f>INDEX('Brown tagset'!$B:$B,MATCH(IF(ISERROR(FIND("-",AF99)),IF(ISERROR(FIND("+",AF99)),AF99,LEFT(AF99,FIND("+",AF99)-1)),LEFT(AF99,FIND("-",AF99)-1)),'Brown tagset'!$A:$A,0))</f>
        <v>adverb</v>
      </c>
      <c r="AH99" s="9" t="s">
        <v>5</v>
      </c>
      <c r="AI99" s="9" t="str">
        <f>INDEX('Brown-Universal mapping'!$B:$B,MATCH(AF99,'Brown-Universal mapping'!$A:$A,0))</f>
        <v>ADV</v>
      </c>
      <c r="AJ99" s="9">
        <f t="shared" si="15"/>
        <v>1</v>
      </c>
      <c r="AK99" s="9">
        <f t="shared" si="16"/>
        <v>1</v>
      </c>
      <c r="AM99" s="6">
        <f t="shared" si="19"/>
        <v>3</v>
      </c>
      <c r="AN99" s="6">
        <f t="shared" si="20"/>
        <v>3</v>
      </c>
      <c r="AP99" s="6" t="str">
        <f t="shared" si="21"/>
        <v>adverb3</v>
      </c>
    </row>
    <row r="100" spans="1:42" x14ac:dyDescent="0.25">
      <c r="A100" s="29" t="s">
        <v>107</v>
      </c>
      <c r="B100" s="29"/>
      <c r="D100" s="3" t="s">
        <v>108</v>
      </c>
      <c r="E100" s="3" t="str">
        <f>INDEX('Brown tagset'!$B:$B,MATCH(IF(ISERROR(FIND("-",D100)),IF(ISERROR(FIND("+",D100)),D100,LEFT(D100,FIND("+",D100)-1)),LEFT(D100,FIND("-",D100)-1)),'Brown tagset'!$A:$A,0))</f>
        <v>3rd. singular nominative pronoun (he, she, it, one)</v>
      </c>
      <c r="F100" s="3"/>
      <c r="G100" s="3" t="str">
        <f>INDEX('Brown-Universal mapping'!$B:$B,MATCH(D100,'Brown-Universal mapping'!$A:$A,0))</f>
        <v>PRT</v>
      </c>
      <c r="I100" s="5" t="s">
        <v>108</v>
      </c>
      <c r="J100" s="5" t="str">
        <f>INDEX('Brown tagset'!$B:$B,MATCH(IF(ISERROR(FIND("-",I100)),IF(ISERROR(FIND("+",I100)),I100,LEFT(I100,FIND("+",I100)-1)),LEFT(I100,FIND("-",I100)-1)),'Brown tagset'!$A:$A,0))</f>
        <v>3rd. singular nominative pronoun (he, she, it, one)</v>
      </c>
      <c r="K100" s="5" t="s">
        <v>2</v>
      </c>
      <c r="L100" s="5" t="str">
        <f>INDEX('Brown-Universal mapping'!$B:$B,MATCH(I100,'Brown-Universal mapping'!$A:$A,0))</f>
        <v>PRT</v>
      </c>
      <c r="M100" s="5">
        <f t="shared" si="11"/>
        <v>1</v>
      </c>
      <c r="N100" s="5">
        <f t="shared" si="12"/>
        <v>1</v>
      </c>
      <c r="P100" s="12" t="s">
        <v>314</v>
      </c>
      <c r="Q100" s="7" t="s">
        <v>307</v>
      </c>
      <c r="R100" s="7" t="str">
        <f>INDEX('Brown tagset'!$B:$B,MATCH(IF(ISERROR(FIND("-",Q100)),IF(ISERROR(FIND("+",Q100)),Q100,LEFT(Q100,FIND("+",Q100)-1)),LEFT(Q100,FIND("-",Q100)-1)),'Brown tagset'!$A:$A,0))</f>
        <v>3rd. singular nominative pronoun (he, she, it, one)</v>
      </c>
      <c r="S100" s="7"/>
      <c r="T100" s="7" t="str">
        <f>INDEX('Brown-Universal mapping'!$B:$B,MATCH(Q100,'Brown-Universal mapping'!$A:$A,0))</f>
        <v>PRON</v>
      </c>
      <c r="U100" s="7">
        <f t="shared" si="13"/>
        <v>0</v>
      </c>
      <c r="V100" s="7">
        <f t="shared" si="14"/>
        <v>0</v>
      </c>
      <c r="X100" s="12" t="s">
        <v>107</v>
      </c>
      <c r="Y100" s="7" t="s">
        <v>870</v>
      </c>
      <c r="Z100" s="7" t="str">
        <f>INDEX('Brown tagset'!$B:$B,MATCH(IF(ISERROR(FIND("-",Y100)),IF(ISERROR(FIND("+",Y100)),Y100,LEFT(Y100,FIND("+",Y100)-1)),LEFT(Y100,FIND("-",Y100)-1)),'Brown tagset'!$A:$A,0))</f>
        <v>3rd. singular nominative pronoun (he, she, it, one)</v>
      </c>
      <c r="AA100" s="7"/>
      <c r="AB100" s="7" t="str">
        <f>INDEX('Brown-Universal mapping'!$B:$B,MATCH(Y100,'Brown-Universal mapping'!$A:$A,0))</f>
        <v>PRT</v>
      </c>
      <c r="AC100" s="7">
        <f t="shared" si="17"/>
        <v>1</v>
      </c>
      <c r="AD100" s="7">
        <f t="shared" si="18"/>
        <v>1</v>
      </c>
      <c r="AF100" s="9" t="s">
        <v>108</v>
      </c>
      <c r="AG100" s="9" t="str">
        <f>INDEX('Brown tagset'!$B:$B,MATCH(IF(ISERROR(FIND("-",AF100)),IF(ISERROR(FIND("+",AF100)),AF100,LEFT(AF100,FIND("+",AF100)-1)),LEFT(AF100,FIND("-",AF100)-1)),'Brown tagset'!$A:$A,0))</f>
        <v>3rd. singular nominative pronoun (he, she, it, one)</v>
      </c>
      <c r="AH100" s="9" t="s">
        <v>2</v>
      </c>
      <c r="AI100" s="9" t="str">
        <f>INDEX('Brown-Universal mapping'!$B:$B,MATCH(AF100,'Brown-Universal mapping'!$A:$A,0))</f>
        <v>PRT</v>
      </c>
      <c r="AJ100" s="9">
        <f t="shared" si="15"/>
        <v>1</v>
      </c>
      <c r="AK100" s="9">
        <f t="shared" si="16"/>
        <v>1</v>
      </c>
      <c r="AM100" s="6">
        <f t="shared" si="19"/>
        <v>3</v>
      </c>
      <c r="AN100" s="6">
        <f t="shared" si="20"/>
        <v>3</v>
      </c>
      <c r="AP100" s="6" t="str">
        <f t="shared" si="21"/>
        <v>3rd. singular nominative pronoun (he, she, it, one)3</v>
      </c>
    </row>
    <row r="101" spans="1:42" x14ac:dyDescent="0.25">
      <c r="A101" s="29" t="s">
        <v>6</v>
      </c>
      <c r="B101" s="29"/>
      <c r="D101" s="3" t="s">
        <v>7</v>
      </c>
      <c r="E101" s="3" t="str">
        <f>INDEX('Brown tagset'!$B:$B,MATCH(IF(ISERROR(FIND("-",D101)),IF(ISERROR(FIND("+",D101)),D101,LEFT(D101,FIND("+",D101)-1)),LEFT(D101,FIND("-",D101)-1)),'Brown tagset'!$A:$A,0))</f>
        <v>article (a, the, no)</v>
      </c>
      <c r="F101" s="3"/>
      <c r="G101" s="3" t="str">
        <f>INDEX('Brown-Universal mapping'!$B:$B,MATCH(D101,'Brown-Universal mapping'!$A:$A,0))</f>
        <v>DET</v>
      </c>
      <c r="I101" s="5" t="s">
        <v>7</v>
      </c>
      <c r="J101" s="5" t="str">
        <f>INDEX('Brown tagset'!$B:$B,MATCH(IF(ISERROR(FIND("-",I101)),IF(ISERROR(FIND("+",I101)),I101,LEFT(I101,FIND("+",I101)-1)),LEFT(I101,FIND("-",I101)-1)),'Brown tagset'!$A:$A,0))</f>
        <v>article (a, the, no)</v>
      </c>
      <c r="K101" s="5" t="s">
        <v>2</v>
      </c>
      <c r="L101" s="5" t="str">
        <f>INDEX('Brown-Universal mapping'!$B:$B,MATCH(I101,'Brown-Universal mapping'!$A:$A,0))</f>
        <v>DET</v>
      </c>
      <c r="M101" s="5">
        <f t="shared" si="11"/>
        <v>1</v>
      </c>
      <c r="N101" s="5">
        <f t="shared" si="12"/>
        <v>1</v>
      </c>
      <c r="P101" s="12" t="s">
        <v>6</v>
      </c>
      <c r="Q101" s="7" t="s">
        <v>89</v>
      </c>
      <c r="R101" s="7" t="str">
        <f>INDEX('Brown tagset'!$B:$B,MATCH(IF(ISERROR(FIND("-",Q101)),IF(ISERROR(FIND("+",Q101)),Q101,LEFT(Q101,FIND("+",Q101)-1)),LEFT(Q101,FIND("-",Q101)-1)),'Brown tagset'!$A:$A,0))</f>
        <v>article (a, the, no)</v>
      </c>
      <c r="S101" s="7"/>
      <c r="T101" s="7" t="str">
        <f>INDEX('Brown-Universal mapping'!$B:$B,MATCH(Q101,'Brown-Universal mapping'!$A:$A,0))</f>
        <v>DET</v>
      </c>
      <c r="U101" s="7">
        <f t="shared" si="13"/>
        <v>1</v>
      </c>
      <c r="V101" s="7">
        <f t="shared" si="14"/>
        <v>1</v>
      </c>
      <c r="X101" s="12" t="s">
        <v>6</v>
      </c>
      <c r="Y101" s="7" t="s">
        <v>89</v>
      </c>
      <c r="Z101" s="7" t="str">
        <f>INDEX('Brown tagset'!$B:$B,MATCH(IF(ISERROR(FIND("-",Y101)),IF(ISERROR(FIND("+",Y101)),Y101,LEFT(Y101,FIND("+",Y101)-1)),LEFT(Y101,FIND("-",Y101)-1)),'Brown tagset'!$A:$A,0))</f>
        <v>article (a, the, no)</v>
      </c>
      <c r="AA101" s="7"/>
      <c r="AB101" s="7" t="str">
        <f>INDEX('Brown-Universal mapping'!$B:$B,MATCH(Y101,'Brown-Universal mapping'!$A:$A,0))</f>
        <v>DET</v>
      </c>
      <c r="AC101" s="7">
        <f t="shared" si="17"/>
        <v>1</v>
      </c>
      <c r="AD101" s="7">
        <f t="shared" si="18"/>
        <v>1</v>
      </c>
      <c r="AF101" s="9" t="s">
        <v>7</v>
      </c>
      <c r="AG101" s="9" t="str">
        <f>INDEX('Brown tagset'!$B:$B,MATCH(IF(ISERROR(FIND("-",AF101)),IF(ISERROR(FIND("+",AF101)),AF101,LEFT(AF101,FIND("+",AF101)-1)),LEFT(AF101,FIND("-",AF101)-1)),'Brown tagset'!$A:$A,0))</f>
        <v>article (a, the, no)</v>
      </c>
      <c r="AH101" s="9" t="s">
        <v>2</v>
      </c>
      <c r="AI101" s="9" t="str">
        <f>INDEX('Brown-Universal mapping'!$B:$B,MATCH(AF101,'Brown-Universal mapping'!$A:$A,0))</f>
        <v>DET</v>
      </c>
      <c r="AJ101" s="9">
        <f t="shared" si="15"/>
        <v>1</v>
      </c>
      <c r="AK101" s="9">
        <f t="shared" si="16"/>
        <v>1</v>
      </c>
      <c r="AM101" s="6">
        <f t="shared" si="19"/>
        <v>3</v>
      </c>
      <c r="AN101" s="6">
        <f t="shared" si="20"/>
        <v>3</v>
      </c>
      <c r="AP101" s="6" t="str">
        <f t="shared" si="21"/>
        <v>article (a, the, no)3</v>
      </c>
    </row>
    <row r="102" spans="1:42" x14ac:dyDescent="0.25">
      <c r="A102" s="29" t="s">
        <v>109</v>
      </c>
      <c r="B102" s="29"/>
      <c r="D102" s="3" t="s">
        <v>45</v>
      </c>
      <c r="E102" s="3" t="str">
        <f>INDEX('Brown tagset'!$B:$B,MATCH(IF(ISERROR(FIND("-",D102)),IF(ISERROR(FIND("+",D102)),D102,LEFT(D102,FIND("+",D102)-1)),LEFT(D102,FIND("-",D102)-1)),'Brown tagset'!$A:$A,0))</f>
        <v>adjective</v>
      </c>
      <c r="F102" s="3"/>
      <c r="G102" s="3" t="str">
        <f>INDEX('Brown-Universal mapping'!$B:$B,MATCH(D102,'Brown-Universal mapping'!$A:$A,0))</f>
        <v>ADJ</v>
      </c>
      <c r="I102" s="5" t="s">
        <v>45</v>
      </c>
      <c r="J102" s="5" t="str">
        <f>INDEX('Brown tagset'!$B:$B,MATCH(IF(ISERROR(FIND("-",I102)),IF(ISERROR(FIND("+",I102)),I102,LEFT(I102,FIND("+",I102)-1)),LEFT(I102,FIND("-",I102)-1)),'Brown tagset'!$A:$A,0))</f>
        <v>adjective</v>
      </c>
      <c r="K102" s="5" t="s">
        <v>46</v>
      </c>
      <c r="L102" s="5" t="str">
        <f>INDEX('Brown-Universal mapping'!$B:$B,MATCH(I102,'Brown-Universal mapping'!$A:$A,0))</f>
        <v>ADJ</v>
      </c>
      <c r="M102" s="5">
        <f t="shared" si="11"/>
        <v>1</v>
      </c>
      <c r="N102" s="5">
        <f t="shared" si="12"/>
        <v>1</v>
      </c>
      <c r="P102" s="12" t="s">
        <v>109</v>
      </c>
      <c r="Q102" s="7" t="s">
        <v>299</v>
      </c>
      <c r="R102" s="7" t="str">
        <f>INDEX('Brown tagset'!$B:$B,MATCH(IF(ISERROR(FIND("-",Q102)),IF(ISERROR(FIND("+",Q102)),Q102,LEFT(Q102,FIND("+",Q102)-1)),LEFT(Q102,FIND("-",Q102)-1)),'Brown tagset'!$A:$A,0))</f>
        <v>adjective</v>
      </c>
      <c r="S102" s="7"/>
      <c r="T102" s="7" t="str">
        <f>INDEX('Brown-Universal mapping'!$B:$B,MATCH(Q102,'Brown-Universal mapping'!$A:$A,0))</f>
        <v>ADJ</v>
      </c>
      <c r="U102" s="7">
        <f t="shared" si="13"/>
        <v>1</v>
      </c>
      <c r="V102" s="7">
        <f t="shared" si="14"/>
        <v>1</v>
      </c>
      <c r="X102" s="12" t="s">
        <v>109</v>
      </c>
      <c r="Y102" s="7" t="s">
        <v>299</v>
      </c>
      <c r="Z102" s="7" t="str">
        <f>INDEX('Brown tagset'!$B:$B,MATCH(IF(ISERROR(FIND("-",Y102)),IF(ISERROR(FIND("+",Y102)),Y102,LEFT(Y102,FIND("+",Y102)-1)),LEFT(Y102,FIND("-",Y102)-1)),'Brown tagset'!$A:$A,0))</f>
        <v>adjective</v>
      </c>
      <c r="AA102" s="7"/>
      <c r="AB102" s="7" t="str">
        <f>INDEX('Brown-Universal mapping'!$B:$B,MATCH(Y102,'Brown-Universal mapping'!$A:$A,0))</f>
        <v>ADJ</v>
      </c>
      <c r="AC102" s="7">
        <f t="shared" si="17"/>
        <v>1</v>
      </c>
      <c r="AD102" s="7">
        <f t="shared" si="18"/>
        <v>1</v>
      </c>
      <c r="AF102" s="9" t="s">
        <v>45</v>
      </c>
      <c r="AG102" s="9" t="str">
        <f>INDEX('Brown tagset'!$B:$B,MATCH(IF(ISERROR(FIND("-",AF102)),IF(ISERROR(FIND("+",AF102)),AF102,LEFT(AF102,FIND("+",AF102)-1)),LEFT(AF102,FIND("-",AF102)-1)),'Brown tagset'!$A:$A,0))</f>
        <v>adjective</v>
      </c>
      <c r="AH102" s="9" t="s">
        <v>46</v>
      </c>
      <c r="AI102" s="9" t="str">
        <f>INDEX('Brown-Universal mapping'!$B:$B,MATCH(AF102,'Brown-Universal mapping'!$A:$A,0))</f>
        <v>ADJ</v>
      </c>
      <c r="AJ102" s="9">
        <f t="shared" si="15"/>
        <v>1</v>
      </c>
      <c r="AK102" s="9">
        <f t="shared" si="16"/>
        <v>1</v>
      </c>
      <c r="AM102" s="6">
        <f t="shared" si="19"/>
        <v>3</v>
      </c>
      <c r="AN102" s="6">
        <f t="shared" si="20"/>
        <v>3</v>
      </c>
      <c r="AP102" s="6" t="str">
        <f t="shared" si="21"/>
        <v>adjective3</v>
      </c>
    </row>
    <row r="103" spans="1:42" x14ac:dyDescent="0.25">
      <c r="A103" s="29" t="s">
        <v>110</v>
      </c>
      <c r="B103" s="29"/>
      <c r="D103" s="3" t="s">
        <v>12</v>
      </c>
      <c r="E103" s="3" t="str">
        <f>INDEX('Brown tagset'!$B:$B,MATCH(IF(ISERROR(FIND("-",D103)),IF(ISERROR(FIND("+",D103)),D103,LEFT(D103,FIND("+",D103)-1)),LEFT(D103,FIND("-",D103)-1)),'Brown tagset'!$A:$A,0))</f>
        <v>singular or mass noun</v>
      </c>
      <c r="F103" s="3"/>
      <c r="G103" s="3" t="str">
        <f>INDEX('Brown-Universal mapping'!$B:$B,MATCH(D103,'Brown-Universal mapping'!$A:$A,0))</f>
        <v>NOUN</v>
      </c>
      <c r="I103" s="5" t="s">
        <v>12</v>
      </c>
      <c r="J103" s="5" t="str">
        <f>INDEX('Brown tagset'!$B:$B,MATCH(IF(ISERROR(FIND("-",I103)),IF(ISERROR(FIND("+",I103)),I103,LEFT(I103,FIND("+",I103)-1)),LEFT(I103,FIND("-",I103)-1)),'Brown tagset'!$A:$A,0))</f>
        <v>singular or mass noun</v>
      </c>
      <c r="K103" s="5" t="s">
        <v>13</v>
      </c>
      <c r="L103" s="5" t="str">
        <f>INDEX('Brown-Universal mapping'!$B:$B,MATCH(I103,'Brown-Universal mapping'!$A:$A,0))</f>
        <v>NOUN</v>
      </c>
      <c r="M103" s="5">
        <f t="shared" si="11"/>
        <v>1</v>
      </c>
      <c r="N103" s="5">
        <f t="shared" si="12"/>
        <v>1</v>
      </c>
      <c r="P103" s="12" t="s">
        <v>110</v>
      </c>
      <c r="Q103" s="7" t="s">
        <v>289</v>
      </c>
      <c r="R103" s="7" t="str">
        <f>INDEX('Brown tagset'!$B:$B,MATCH(IF(ISERROR(FIND("-",Q103)),IF(ISERROR(FIND("+",Q103)),Q103,LEFT(Q103,FIND("+",Q103)-1)),LEFT(Q103,FIND("-",Q103)-1)),'Brown tagset'!$A:$A,0))</f>
        <v>singular or mass noun</v>
      </c>
      <c r="S103" s="7"/>
      <c r="T103" s="7" t="str">
        <f>INDEX('Brown-Universal mapping'!$B:$B,MATCH(Q103,'Brown-Universal mapping'!$A:$A,0))</f>
        <v>NOUN</v>
      </c>
      <c r="U103" s="7">
        <f t="shared" si="13"/>
        <v>1</v>
      </c>
      <c r="V103" s="7">
        <f t="shared" si="14"/>
        <v>1</v>
      </c>
      <c r="X103" s="12" t="s">
        <v>110</v>
      </c>
      <c r="Y103" s="7" t="s">
        <v>289</v>
      </c>
      <c r="Z103" s="7" t="str">
        <f>INDEX('Brown tagset'!$B:$B,MATCH(IF(ISERROR(FIND("-",Y103)),IF(ISERROR(FIND("+",Y103)),Y103,LEFT(Y103,FIND("+",Y103)-1)),LEFT(Y103,FIND("-",Y103)-1)),'Brown tagset'!$A:$A,0))</f>
        <v>singular or mass noun</v>
      </c>
      <c r="AA103" s="7"/>
      <c r="AB103" s="7" t="str">
        <f>INDEX('Brown-Universal mapping'!$B:$B,MATCH(Y103,'Brown-Universal mapping'!$A:$A,0))</f>
        <v>NOUN</v>
      </c>
      <c r="AC103" s="7">
        <f t="shared" si="17"/>
        <v>1</v>
      </c>
      <c r="AD103" s="7">
        <f t="shared" si="18"/>
        <v>1</v>
      </c>
      <c r="AF103" s="9" t="s">
        <v>12</v>
      </c>
      <c r="AG103" s="9" t="str">
        <f>INDEX('Brown tagset'!$B:$B,MATCH(IF(ISERROR(FIND("-",AF103)),IF(ISERROR(FIND("+",AF103)),AF103,LEFT(AF103,FIND("+",AF103)-1)),LEFT(AF103,FIND("-",AF103)-1)),'Brown tagset'!$A:$A,0))</f>
        <v>singular or mass noun</v>
      </c>
      <c r="AH103" s="9" t="s">
        <v>13</v>
      </c>
      <c r="AI103" s="9" t="str">
        <f>INDEX('Brown-Universal mapping'!$B:$B,MATCH(AF103,'Brown-Universal mapping'!$A:$A,0))</f>
        <v>NOUN</v>
      </c>
      <c r="AJ103" s="9">
        <f t="shared" si="15"/>
        <v>1</v>
      </c>
      <c r="AK103" s="9">
        <f t="shared" si="16"/>
        <v>1</v>
      </c>
      <c r="AM103" s="6">
        <f t="shared" si="19"/>
        <v>3</v>
      </c>
      <c r="AN103" s="6">
        <f t="shared" si="20"/>
        <v>3</v>
      </c>
      <c r="AP103" s="6" t="str">
        <f t="shared" si="21"/>
        <v>singular or mass noun3</v>
      </c>
    </row>
    <row r="104" spans="1:42" x14ac:dyDescent="0.25">
      <c r="A104" s="29" t="s">
        <v>16</v>
      </c>
      <c r="B104" s="29"/>
      <c r="D104" s="3" t="s">
        <v>17</v>
      </c>
      <c r="E104" s="3" t="str">
        <f>INDEX('Brown tagset'!$B:$B,MATCH(IF(ISERROR(FIND("-",D104)),IF(ISERROR(FIND("+",D104)),D104,LEFT(D104,FIND("+",D104)-1)),LEFT(D104,FIND("-",D104)-1)),'Brown tagset'!$A:$A,0))</f>
        <v>infinitive marker to</v>
      </c>
      <c r="F104" s="3"/>
      <c r="G104" s="3" t="str">
        <f>INDEX('Brown-Universal mapping'!$B:$B,MATCH(D104,'Brown-Universal mapping'!$A:$A,0))</f>
        <v>PRT</v>
      </c>
      <c r="I104" s="5" t="s">
        <v>17</v>
      </c>
      <c r="J104" s="5" t="str">
        <f>INDEX('Brown tagset'!$B:$B,MATCH(IF(ISERROR(FIND("-",I104)),IF(ISERROR(FIND("+",I104)),I104,LEFT(I104,FIND("+",I104)-1)),LEFT(I104,FIND("-",I104)-1)),'Brown tagset'!$A:$A,0))</f>
        <v>infinitive marker to</v>
      </c>
      <c r="K104" s="5" t="s">
        <v>18</v>
      </c>
      <c r="L104" s="5" t="str">
        <f>INDEX('Brown-Universal mapping'!$B:$B,MATCH(I104,'Brown-Universal mapping'!$A:$A,0))</f>
        <v>PRT</v>
      </c>
      <c r="M104" s="5">
        <f t="shared" si="11"/>
        <v>1</v>
      </c>
      <c r="N104" s="5">
        <f t="shared" si="12"/>
        <v>1</v>
      </c>
      <c r="P104" s="12" t="s">
        <v>16</v>
      </c>
      <c r="Q104" s="7" t="s">
        <v>16</v>
      </c>
      <c r="R104" s="7" t="str">
        <f>INDEX('Brown tagset'!$B:$B,MATCH(IF(ISERROR(FIND("-",Q104)),IF(ISERROR(FIND("+",Q104)),Q104,LEFT(Q104,FIND("+",Q104)-1)),LEFT(Q104,FIND("-",Q104)-1)),'Brown tagset'!$A:$A,0))</f>
        <v>infinitive marker to</v>
      </c>
      <c r="S104" s="7"/>
      <c r="T104" s="7" t="str">
        <f>INDEX('Brown-Universal mapping'!$B:$B,MATCH(Q104,'Brown-Universal mapping'!$A:$A,0))</f>
        <v>PRT</v>
      </c>
      <c r="U104" s="7">
        <f t="shared" si="13"/>
        <v>1</v>
      </c>
      <c r="V104" s="7">
        <f t="shared" si="14"/>
        <v>1</v>
      </c>
      <c r="X104" s="12" t="s">
        <v>16</v>
      </c>
      <c r="Y104" s="7" t="s">
        <v>16</v>
      </c>
      <c r="Z104" s="7" t="str">
        <f>INDEX('Brown tagset'!$B:$B,MATCH(IF(ISERROR(FIND("-",Y104)),IF(ISERROR(FIND("+",Y104)),Y104,LEFT(Y104,FIND("+",Y104)-1)),LEFT(Y104,FIND("-",Y104)-1)),'Brown tagset'!$A:$A,0))</f>
        <v>infinitive marker to</v>
      </c>
      <c r="AA104" s="7"/>
      <c r="AB104" s="7" t="str">
        <f>INDEX('Brown-Universal mapping'!$B:$B,MATCH(Y104,'Brown-Universal mapping'!$A:$A,0))</f>
        <v>PRT</v>
      </c>
      <c r="AC104" s="7">
        <f t="shared" si="17"/>
        <v>1</v>
      </c>
      <c r="AD104" s="7">
        <f t="shared" si="18"/>
        <v>1</v>
      </c>
      <c r="AF104" s="9" t="s">
        <v>17</v>
      </c>
      <c r="AG104" s="9" t="str">
        <f>INDEX('Brown tagset'!$B:$B,MATCH(IF(ISERROR(FIND("-",AF104)),IF(ISERROR(FIND("+",AF104)),AF104,LEFT(AF104,FIND("+",AF104)-1)),LEFT(AF104,FIND("-",AF104)-1)),'Brown tagset'!$A:$A,0))</f>
        <v>infinitive marker to</v>
      </c>
      <c r="AH104" s="9" t="s">
        <v>18</v>
      </c>
      <c r="AI104" s="9" t="str">
        <f>INDEX('Brown-Universal mapping'!$B:$B,MATCH(AF104,'Brown-Universal mapping'!$A:$A,0))</f>
        <v>PRT</v>
      </c>
      <c r="AJ104" s="9">
        <f t="shared" si="15"/>
        <v>1</v>
      </c>
      <c r="AK104" s="9">
        <f t="shared" si="16"/>
        <v>1</v>
      </c>
      <c r="AM104" s="6">
        <f t="shared" si="19"/>
        <v>3</v>
      </c>
      <c r="AN104" s="6">
        <f t="shared" si="20"/>
        <v>3</v>
      </c>
      <c r="AP104" s="6" t="str">
        <f t="shared" si="21"/>
        <v>infinitive marker to3</v>
      </c>
    </row>
    <row r="105" spans="1:42" x14ac:dyDescent="0.25">
      <c r="A105" s="29" t="s">
        <v>111</v>
      </c>
      <c r="B105" s="29"/>
      <c r="D105" s="3" t="s">
        <v>35</v>
      </c>
      <c r="E105" s="3" t="str">
        <f>INDEX('Brown tagset'!$B:$B,MATCH(IF(ISERROR(FIND("-",D105)),IF(ISERROR(FIND("+",D105)),D105,LEFT(D105,FIND("+",D105)-1)),LEFT(D105,FIND("-",D105)-1)),'Brown tagset'!$A:$A,0))</f>
        <v>verb, base form</v>
      </c>
      <c r="F105" s="3"/>
      <c r="G105" s="3" t="str">
        <f>INDEX('Brown-Universal mapping'!$B:$B,MATCH(D105,'Brown-Universal mapping'!$A:$A,0))</f>
        <v>VERB</v>
      </c>
      <c r="I105" s="5" t="s">
        <v>35</v>
      </c>
      <c r="J105" s="5" t="str">
        <f>INDEX('Brown tagset'!$B:$B,MATCH(IF(ISERROR(FIND("-",I105)),IF(ISERROR(FIND("+",I105)),I105,LEFT(I105,FIND("+",I105)-1)),LEFT(I105,FIND("-",I105)-1)),'Brown tagset'!$A:$A,0))</f>
        <v>verb, base form</v>
      </c>
      <c r="K105" s="5" t="s">
        <v>10</v>
      </c>
      <c r="L105" s="5" t="str">
        <f>INDEX('Brown-Universal mapping'!$B:$B,MATCH(I105,'Brown-Universal mapping'!$A:$A,0))</f>
        <v>VERB</v>
      </c>
      <c r="M105" s="5">
        <f t="shared" si="11"/>
        <v>1</v>
      </c>
      <c r="N105" s="5">
        <f t="shared" si="12"/>
        <v>1</v>
      </c>
      <c r="P105" s="12" t="s">
        <v>111</v>
      </c>
      <c r="Q105" s="7" t="s">
        <v>296</v>
      </c>
      <c r="R105" s="7" t="str">
        <f>INDEX('Brown tagset'!$B:$B,MATCH(IF(ISERROR(FIND("-",Q105)),IF(ISERROR(FIND("+",Q105)),Q105,LEFT(Q105,FIND("+",Q105)-1)),LEFT(Q105,FIND("-",Q105)-1)),'Brown tagset'!$A:$A,0))</f>
        <v>verb, base form</v>
      </c>
      <c r="S105" s="7"/>
      <c r="T105" s="7" t="str">
        <f>INDEX('Brown-Universal mapping'!$B:$B,MATCH(Q105,'Brown-Universal mapping'!$A:$A,0))</f>
        <v>VERB</v>
      </c>
      <c r="U105" s="7">
        <f t="shared" si="13"/>
        <v>1</v>
      </c>
      <c r="V105" s="7">
        <f t="shared" si="14"/>
        <v>1</v>
      </c>
      <c r="X105" s="12" t="s">
        <v>111</v>
      </c>
      <c r="Y105" s="7" t="s">
        <v>296</v>
      </c>
      <c r="Z105" s="7" t="str">
        <f>INDEX('Brown tagset'!$B:$B,MATCH(IF(ISERROR(FIND("-",Y105)),IF(ISERROR(FIND("+",Y105)),Y105,LEFT(Y105,FIND("+",Y105)-1)),LEFT(Y105,FIND("-",Y105)-1)),'Brown tagset'!$A:$A,0))</f>
        <v>verb, base form</v>
      </c>
      <c r="AA105" s="7"/>
      <c r="AB105" s="7" t="str">
        <f>INDEX('Brown-Universal mapping'!$B:$B,MATCH(Y105,'Brown-Universal mapping'!$A:$A,0))</f>
        <v>VERB</v>
      </c>
      <c r="AC105" s="7">
        <f t="shared" si="17"/>
        <v>1</v>
      </c>
      <c r="AD105" s="7">
        <f t="shared" si="18"/>
        <v>1</v>
      </c>
      <c r="AF105" s="9" t="s">
        <v>35</v>
      </c>
      <c r="AG105" s="9" t="str">
        <f>INDEX('Brown tagset'!$B:$B,MATCH(IF(ISERROR(FIND("-",AF105)),IF(ISERROR(FIND("+",AF105)),AF105,LEFT(AF105,FIND("+",AF105)-1)),LEFT(AF105,FIND("-",AF105)-1)),'Brown tagset'!$A:$A,0))</f>
        <v>verb, base form</v>
      </c>
      <c r="AH105" s="9" t="s">
        <v>10</v>
      </c>
      <c r="AI105" s="9" t="str">
        <f>INDEX('Brown-Universal mapping'!$B:$B,MATCH(AF105,'Brown-Universal mapping'!$A:$A,0))</f>
        <v>VERB</v>
      </c>
      <c r="AJ105" s="9">
        <f t="shared" si="15"/>
        <v>1</v>
      </c>
      <c r="AK105" s="9">
        <f t="shared" si="16"/>
        <v>1</v>
      </c>
      <c r="AM105" s="6">
        <f t="shared" si="19"/>
        <v>3</v>
      </c>
      <c r="AN105" s="6">
        <f t="shared" si="20"/>
        <v>3</v>
      </c>
      <c r="AP105" s="6" t="str">
        <f t="shared" si="21"/>
        <v>verb, base form3</v>
      </c>
    </row>
    <row r="106" spans="1:42" x14ac:dyDescent="0.25">
      <c r="A106" s="29" t="s">
        <v>112</v>
      </c>
      <c r="B106" s="29"/>
      <c r="D106" s="3" t="s">
        <v>113</v>
      </c>
      <c r="E106" s="3" t="str">
        <f>INDEX('Brown tagset'!$B:$B,MATCH(IF(ISERROR(FIND("-",D106)),IF(ISERROR(FIND("+",D106)),D106,LEFT(D106,FIND("+",D106)-1)),LEFT(D106,FIND("-",D106)-1)),'Brown tagset'!$A:$A,0))</f>
        <v>objective personal pronoun (me, him, it, them)</v>
      </c>
      <c r="F106" s="3"/>
      <c r="G106" s="3" t="str">
        <f>INDEX('Brown-Universal mapping'!$B:$B,MATCH(D106,'Brown-Universal mapping'!$A:$A,0))</f>
        <v>PRON</v>
      </c>
      <c r="I106" s="5" t="s">
        <v>113</v>
      </c>
      <c r="J106" s="5" t="str">
        <f>INDEX('Brown tagset'!$B:$B,MATCH(IF(ISERROR(FIND("-",I106)),IF(ISERROR(FIND("+",I106)),I106,LEFT(I106,FIND("+",I106)-1)),LEFT(I106,FIND("-",I106)-1)),'Brown tagset'!$A:$A,0))</f>
        <v>objective personal pronoun (me, him, it, them)</v>
      </c>
      <c r="K106" s="5" t="s">
        <v>2</v>
      </c>
      <c r="L106" s="5" t="str">
        <f>INDEX('Brown-Universal mapping'!$B:$B,MATCH(I106,'Brown-Universal mapping'!$A:$A,0))</f>
        <v>PRON</v>
      </c>
      <c r="M106" s="5">
        <f t="shared" si="11"/>
        <v>1</v>
      </c>
      <c r="N106" s="5">
        <f t="shared" si="12"/>
        <v>1</v>
      </c>
      <c r="P106" s="12" t="s">
        <v>112</v>
      </c>
      <c r="Q106" s="7" t="s">
        <v>316</v>
      </c>
      <c r="R106" s="7" t="str">
        <f>INDEX('Brown tagset'!$B:$B,MATCH(IF(ISERROR(FIND("-",Q106)),IF(ISERROR(FIND("+",Q106)),Q106,LEFT(Q106,FIND("+",Q106)-1)),LEFT(Q106,FIND("-",Q106)-1)),'Brown tagset'!$A:$A,0))</f>
        <v>objective personal pronoun (me, him, it, them)</v>
      </c>
      <c r="S106" s="7"/>
      <c r="T106" s="7" t="str">
        <f>INDEX('Brown-Universal mapping'!$B:$B,MATCH(Q106,'Brown-Universal mapping'!$A:$A,0))</f>
        <v>PRON</v>
      </c>
      <c r="U106" s="7">
        <f t="shared" si="13"/>
        <v>1</v>
      </c>
      <c r="V106" s="7">
        <f t="shared" si="14"/>
        <v>1</v>
      </c>
      <c r="X106" s="12" t="s">
        <v>112</v>
      </c>
      <c r="Y106" s="7" t="s">
        <v>316</v>
      </c>
      <c r="Z106" s="7" t="str">
        <f>INDEX('Brown tagset'!$B:$B,MATCH(IF(ISERROR(FIND("-",Y106)),IF(ISERROR(FIND("+",Y106)),Y106,LEFT(Y106,FIND("+",Y106)-1)),LEFT(Y106,FIND("-",Y106)-1)),'Brown tagset'!$A:$A,0))</f>
        <v>objective personal pronoun (me, him, it, them)</v>
      </c>
      <c r="AA106" s="7"/>
      <c r="AB106" s="7" t="str">
        <f>INDEX('Brown-Universal mapping'!$B:$B,MATCH(Y106,'Brown-Universal mapping'!$A:$A,0))</f>
        <v>PRON</v>
      </c>
      <c r="AC106" s="7">
        <f t="shared" si="17"/>
        <v>1</v>
      </c>
      <c r="AD106" s="7">
        <f t="shared" si="18"/>
        <v>1</v>
      </c>
      <c r="AF106" s="9" t="s">
        <v>113</v>
      </c>
      <c r="AG106" s="9" t="str">
        <f>INDEX('Brown tagset'!$B:$B,MATCH(IF(ISERROR(FIND("-",AF106)),IF(ISERROR(FIND("+",AF106)),AF106,LEFT(AF106,FIND("+",AF106)-1)),LEFT(AF106,FIND("-",AF106)-1)),'Brown tagset'!$A:$A,0))</f>
        <v>objective personal pronoun (me, him, it, them)</v>
      </c>
      <c r="AH106" s="9" t="s">
        <v>2</v>
      </c>
      <c r="AI106" s="9" t="str">
        <f>INDEX('Brown-Universal mapping'!$B:$B,MATCH(AF106,'Brown-Universal mapping'!$A:$A,0))</f>
        <v>PRON</v>
      </c>
      <c r="AJ106" s="9">
        <f t="shared" si="15"/>
        <v>1</v>
      </c>
      <c r="AK106" s="9">
        <f t="shared" si="16"/>
        <v>1</v>
      </c>
      <c r="AM106" s="6">
        <f t="shared" si="19"/>
        <v>3</v>
      </c>
      <c r="AN106" s="6">
        <f t="shared" si="20"/>
        <v>3</v>
      </c>
      <c r="AP106" s="6" t="str">
        <f t="shared" si="21"/>
        <v>objective personal pronoun (me, him, it, them)3</v>
      </c>
    </row>
    <row r="107" spans="1:42" x14ac:dyDescent="0.25">
      <c r="A107" s="29" t="s">
        <v>114</v>
      </c>
      <c r="B107" s="29"/>
      <c r="D107" s="3" t="s">
        <v>59</v>
      </c>
      <c r="E107" s="3" t="str">
        <f>INDEX('Brown tagset'!$B:$B,MATCH(IF(ISERROR(FIND("-",D107)),IF(ISERROR(FIND("+",D107)),D107,LEFT(D107,FIND("+",D107)-1)),LEFT(D107,FIND("-",D107)-1)),'Brown tagset'!$A:$A,0))</f>
        <v>preposition</v>
      </c>
      <c r="F107" s="3"/>
      <c r="G107" s="3" t="str">
        <f>INDEX('Brown-Universal mapping'!$B:$B,MATCH(D107,'Brown-Universal mapping'!$A:$A,0))</f>
        <v>ADP</v>
      </c>
      <c r="I107" s="5" t="s">
        <v>59</v>
      </c>
      <c r="J107" s="5" t="str">
        <f>INDEX('Brown tagset'!$B:$B,MATCH(IF(ISERROR(FIND("-",I107)),IF(ISERROR(FIND("+",I107)),I107,LEFT(I107,FIND("+",I107)-1)),LEFT(I107,FIND("-",I107)-1)),'Brown tagset'!$A:$A,0))</f>
        <v>preposition</v>
      </c>
      <c r="K107" s="5" t="s">
        <v>60</v>
      </c>
      <c r="L107" s="5" t="str">
        <f>INDEX('Brown-Universal mapping'!$B:$B,MATCH(I107,'Brown-Universal mapping'!$A:$A,0))</f>
        <v>ADP</v>
      </c>
      <c r="M107" s="5">
        <f t="shared" si="11"/>
        <v>1</v>
      </c>
      <c r="N107" s="5">
        <f t="shared" si="12"/>
        <v>1</v>
      </c>
      <c r="P107" s="12" t="s">
        <v>114</v>
      </c>
      <c r="Q107" s="7" t="s">
        <v>124</v>
      </c>
      <c r="R107" s="7" t="str">
        <f>INDEX('Brown tagset'!$B:$B,MATCH(IF(ISERROR(FIND("-",Q107)),IF(ISERROR(FIND("+",Q107)),Q107,LEFT(Q107,FIND("+",Q107)-1)),LEFT(Q107,FIND("-",Q107)-1)),'Brown tagset'!$A:$A,0))</f>
        <v>preposition</v>
      </c>
      <c r="S107" s="7"/>
      <c r="T107" s="7" t="str">
        <f>INDEX('Brown-Universal mapping'!$B:$B,MATCH(Q107,'Brown-Universal mapping'!$A:$A,0))</f>
        <v>ADP</v>
      </c>
      <c r="U107" s="7">
        <f t="shared" si="13"/>
        <v>1</v>
      </c>
      <c r="V107" s="7">
        <f t="shared" si="14"/>
        <v>1</v>
      </c>
      <c r="X107" s="12" t="s">
        <v>114</v>
      </c>
      <c r="Y107" s="7" t="s">
        <v>124</v>
      </c>
      <c r="Z107" s="7" t="str">
        <f>INDEX('Brown tagset'!$B:$B,MATCH(IF(ISERROR(FIND("-",Y107)),IF(ISERROR(FIND("+",Y107)),Y107,LEFT(Y107,FIND("+",Y107)-1)),LEFT(Y107,FIND("-",Y107)-1)),'Brown tagset'!$A:$A,0))</f>
        <v>preposition</v>
      </c>
      <c r="AA107" s="7"/>
      <c r="AB107" s="7" t="str">
        <f>INDEX('Brown-Universal mapping'!$B:$B,MATCH(Y107,'Brown-Universal mapping'!$A:$A,0))</f>
        <v>ADP</v>
      </c>
      <c r="AC107" s="7">
        <f t="shared" si="17"/>
        <v>1</v>
      </c>
      <c r="AD107" s="7">
        <f t="shared" si="18"/>
        <v>1</v>
      </c>
      <c r="AF107" s="9" t="s">
        <v>59</v>
      </c>
      <c r="AG107" s="9" t="str">
        <f>INDEX('Brown tagset'!$B:$B,MATCH(IF(ISERROR(FIND("-",AF107)),IF(ISERROR(FIND("+",AF107)),AF107,LEFT(AF107,FIND("+",AF107)-1)),LEFT(AF107,FIND("-",AF107)-1)),'Brown tagset'!$A:$A,0))</f>
        <v>preposition</v>
      </c>
      <c r="AH107" s="9" t="s">
        <v>60</v>
      </c>
      <c r="AI107" s="9" t="str">
        <f>INDEX('Brown-Universal mapping'!$B:$B,MATCH(AF107,'Brown-Universal mapping'!$A:$A,0))</f>
        <v>ADP</v>
      </c>
      <c r="AJ107" s="9">
        <f t="shared" si="15"/>
        <v>1</v>
      </c>
      <c r="AK107" s="9">
        <f t="shared" si="16"/>
        <v>1</v>
      </c>
      <c r="AM107" s="6">
        <f t="shared" si="19"/>
        <v>3</v>
      </c>
      <c r="AN107" s="6">
        <f t="shared" si="20"/>
        <v>3</v>
      </c>
      <c r="AP107" s="6" t="str">
        <f t="shared" si="21"/>
        <v>preposition3</v>
      </c>
    </row>
    <row r="108" spans="1:42" x14ac:dyDescent="0.25">
      <c r="A108" s="29" t="s">
        <v>115</v>
      </c>
      <c r="B108" s="29"/>
      <c r="D108" s="3" t="s">
        <v>7</v>
      </c>
      <c r="E108" s="3" t="str">
        <f>INDEX('Brown tagset'!$B:$B,MATCH(IF(ISERROR(FIND("-",D108)),IF(ISERROR(FIND("+",D108)),D108,LEFT(D108,FIND("+",D108)-1)),LEFT(D108,FIND("-",D108)-1)),'Brown tagset'!$A:$A,0))</f>
        <v>article (a, the, no)</v>
      </c>
      <c r="F108" s="3"/>
      <c r="G108" s="3" t="str">
        <f>INDEX('Brown-Universal mapping'!$B:$B,MATCH(D108,'Brown-Universal mapping'!$A:$A,0))</f>
        <v>DET</v>
      </c>
      <c r="I108" s="5" t="s">
        <v>7</v>
      </c>
      <c r="J108" s="5" t="str">
        <f>INDEX('Brown tagset'!$B:$B,MATCH(IF(ISERROR(FIND("-",I108)),IF(ISERROR(FIND("+",I108)),I108,LEFT(I108,FIND("+",I108)-1)),LEFT(I108,FIND("-",I108)-1)),'Brown tagset'!$A:$A,0))</f>
        <v>article (a, the, no)</v>
      </c>
      <c r="K108" s="5" t="s">
        <v>2</v>
      </c>
      <c r="L108" s="5" t="str">
        <f>INDEX('Brown-Universal mapping'!$B:$B,MATCH(I108,'Brown-Universal mapping'!$A:$A,0))</f>
        <v>DET</v>
      </c>
      <c r="M108" s="5">
        <f t="shared" si="11"/>
        <v>1</v>
      </c>
      <c r="N108" s="5">
        <f t="shared" si="12"/>
        <v>1</v>
      </c>
      <c r="P108" s="12" t="s">
        <v>115</v>
      </c>
      <c r="Q108" s="7" t="s">
        <v>89</v>
      </c>
      <c r="R108" s="7" t="str">
        <f>INDEX('Brown tagset'!$B:$B,MATCH(IF(ISERROR(FIND("-",Q108)),IF(ISERROR(FIND("+",Q108)),Q108,LEFT(Q108,FIND("+",Q108)-1)),LEFT(Q108,FIND("-",Q108)-1)),'Brown tagset'!$A:$A,0))</f>
        <v>article (a, the, no)</v>
      </c>
      <c r="S108" s="7"/>
      <c r="T108" s="7" t="str">
        <f>INDEX('Brown-Universal mapping'!$B:$B,MATCH(Q108,'Brown-Universal mapping'!$A:$A,0))</f>
        <v>DET</v>
      </c>
      <c r="U108" s="7">
        <f t="shared" si="13"/>
        <v>1</v>
      </c>
      <c r="V108" s="7">
        <f t="shared" si="14"/>
        <v>1</v>
      </c>
      <c r="X108" s="12" t="s">
        <v>115</v>
      </c>
      <c r="Y108" s="7" t="s">
        <v>89</v>
      </c>
      <c r="Z108" s="7" t="str">
        <f>INDEX('Brown tagset'!$B:$B,MATCH(IF(ISERROR(FIND("-",Y108)),IF(ISERROR(FIND("+",Y108)),Y108,LEFT(Y108,FIND("+",Y108)-1)),LEFT(Y108,FIND("-",Y108)-1)),'Brown tagset'!$A:$A,0))</f>
        <v>article (a, the, no)</v>
      </c>
      <c r="AA108" s="7"/>
      <c r="AB108" s="7" t="str">
        <f>INDEX('Brown-Universal mapping'!$B:$B,MATCH(Y108,'Brown-Universal mapping'!$A:$A,0))</f>
        <v>DET</v>
      </c>
      <c r="AC108" s="7">
        <f t="shared" si="17"/>
        <v>1</v>
      </c>
      <c r="AD108" s="7">
        <f t="shared" si="18"/>
        <v>1</v>
      </c>
      <c r="AF108" s="9" t="s">
        <v>7</v>
      </c>
      <c r="AG108" s="9" t="str">
        <f>INDEX('Brown tagset'!$B:$B,MATCH(IF(ISERROR(FIND("-",AF108)),IF(ISERROR(FIND("+",AF108)),AF108,LEFT(AF108,FIND("+",AF108)-1)),LEFT(AF108,FIND("-",AF108)-1)),'Brown tagset'!$A:$A,0))</f>
        <v>article (a, the, no)</v>
      </c>
      <c r="AH108" s="9" t="s">
        <v>2</v>
      </c>
      <c r="AI108" s="9" t="str">
        <f>INDEX('Brown-Universal mapping'!$B:$B,MATCH(AF108,'Brown-Universal mapping'!$A:$A,0))</f>
        <v>DET</v>
      </c>
      <c r="AJ108" s="9">
        <f t="shared" si="15"/>
        <v>1</v>
      </c>
      <c r="AK108" s="9">
        <f t="shared" si="16"/>
        <v>1</v>
      </c>
      <c r="AM108" s="6">
        <f t="shared" si="19"/>
        <v>3</v>
      </c>
      <c r="AN108" s="6">
        <f t="shared" si="20"/>
        <v>3</v>
      </c>
      <c r="AP108" s="6" t="str">
        <f t="shared" si="21"/>
        <v>article (a, the, no)3</v>
      </c>
    </row>
    <row r="109" spans="1:42" x14ac:dyDescent="0.25">
      <c r="A109" s="29" t="s">
        <v>116</v>
      </c>
      <c r="B109" s="29"/>
      <c r="C109" s="4">
        <v>1</v>
      </c>
      <c r="D109" s="3" t="s">
        <v>1</v>
      </c>
      <c r="E109" s="3" t="str">
        <f>INDEX('Brown tagset'!$B:$B,MATCH(IF(ISERROR(FIND("-",D109)),IF(ISERROR(FIND("+",D109)),D109,LEFT(D109,FIND("+",D109)-1)),LEFT(D109,FIND("-",D109)-1)),'Brown tagset'!$A:$A,0))</f>
        <v>qualifier (very, fairly)</v>
      </c>
      <c r="F109" s="3"/>
      <c r="G109" s="3" t="str">
        <f>INDEX('Brown-Universal mapping'!$B:$B,MATCH(D109,'Brown-Universal mapping'!$A:$A,0))</f>
        <v>ADV</v>
      </c>
      <c r="I109" s="5" t="s">
        <v>1</v>
      </c>
      <c r="J109" s="5" t="str">
        <f>INDEX('Brown tagset'!$B:$B,MATCH(IF(ISERROR(FIND("-",I109)),IF(ISERROR(FIND("+",I109)),I109,LEFT(I109,FIND("+",I109)-1)),LEFT(I109,FIND("-",I109)-1)),'Brown tagset'!$A:$A,0))</f>
        <v>qualifier (very, fairly)</v>
      </c>
      <c r="K109" s="5" t="s">
        <v>2</v>
      </c>
      <c r="L109" s="5" t="str">
        <f>INDEX('Brown-Universal mapping'!$B:$B,MATCH(I109,'Brown-Universal mapping'!$A:$A,0))</f>
        <v>ADV</v>
      </c>
      <c r="M109" s="5">
        <f t="shared" si="11"/>
        <v>1</v>
      </c>
      <c r="N109" s="5">
        <f t="shared" si="12"/>
        <v>1</v>
      </c>
      <c r="P109" s="12" t="s">
        <v>116</v>
      </c>
      <c r="Q109" s="7" t="s">
        <v>288</v>
      </c>
      <c r="R109" s="7" t="str">
        <f>INDEX('Brown tagset'!$B:$B,MATCH(IF(ISERROR(FIND("-",Q109)),IF(ISERROR(FIND("+",Q109)),Q109,LEFT(Q109,FIND("+",Q109)-1)),LEFT(Q109,FIND("-",Q109)-1)),'Brown tagset'!$A:$A,0))</f>
        <v>adverb</v>
      </c>
      <c r="S109" s="7"/>
      <c r="T109" s="7" t="str">
        <f>INDEX('Brown-Universal mapping'!$B:$B,MATCH(Q109,'Brown-Universal mapping'!$A:$A,0))</f>
        <v>ADV</v>
      </c>
      <c r="U109" s="7">
        <f t="shared" si="13"/>
        <v>0</v>
      </c>
      <c r="V109" s="7">
        <f t="shared" si="14"/>
        <v>1</v>
      </c>
      <c r="X109" s="12" t="s">
        <v>116</v>
      </c>
      <c r="Y109" s="7" t="s">
        <v>855</v>
      </c>
      <c r="Z109" s="7" t="str">
        <f>INDEX('Brown tagset'!$B:$B,MATCH(IF(ISERROR(FIND("-",Y109)),IF(ISERROR(FIND("+",Y109)),Y109,LEFT(Y109,FIND("+",Y109)-1)),LEFT(Y109,FIND("-",Y109)-1)),'Brown tagset'!$A:$A,0))</f>
        <v>qualifier (very, fairly)</v>
      </c>
      <c r="AA109" s="7"/>
      <c r="AB109" s="7" t="str">
        <f>INDEX('Brown-Universal mapping'!$B:$B,MATCH(Y109,'Brown-Universal mapping'!$A:$A,0))</f>
        <v>ADV</v>
      </c>
      <c r="AC109" s="7">
        <f t="shared" si="17"/>
        <v>1</v>
      </c>
      <c r="AD109" s="7">
        <f t="shared" si="18"/>
        <v>1</v>
      </c>
      <c r="AF109" s="9" t="s">
        <v>1</v>
      </c>
      <c r="AG109" s="9" t="str">
        <f>INDEX('Brown tagset'!$B:$B,MATCH(IF(ISERROR(FIND("-",AF109)),IF(ISERROR(FIND("+",AF109)),AF109,LEFT(AF109,FIND("+",AF109)-1)),LEFT(AF109,FIND("-",AF109)-1)),'Brown tagset'!$A:$A,0))</f>
        <v>qualifier (very, fairly)</v>
      </c>
      <c r="AH109" s="9" t="s">
        <v>2</v>
      </c>
      <c r="AI109" s="9" t="str">
        <f>INDEX('Brown-Universal mapping'!$B:$B,MATCH(AF109,'Brown-Universal mapping'!$A:$A,0))</f>
        <v>ADV</v>
      </c>
      <c r="AJ109" s="9">
        <f t="shared" si="15"/>
        <v>1</v>
      </c>
      <c r="AK109" s="9">
        <f t="shared" si="16"/>
        <v>1</v>
      </c>
      <c r="AM109" s="6">
        <f t="shared" si="19"/>
        <v>3</v>
      </c>
      <c r="AN109" s="6">
        <f t="shared" si="20"/>
        <v>3</v>
      </c>
      <c r="AP109" s="6" t="str">
        <f t="shared" si="21"/>
        <v>qualifier (very, fairly)3</v>
      </c>
    </row>
    <row r="110" spans="1:42" x14ac:dyDescent="0.25">
      <c r="A110" s="29" t="s">
        <v>117</v>
      </c>
      <c r="B110" s="29"/>
      <c r="D110" s="3" t="s">
        <v>45</v>
      </c>
      <c r="E110" s="3" t="str">
        <f>INDEX('Brown tagset'!$B:$B,MATCH(IF(ISERROR(FIND("-",D110)),IF(ISERROR(FIND("+",D110)),D110,LEFT(D110,FIND("+",D110)-1)),LEFT(D110,FIND("-",D110)-1)),'Brown tagset'!$A:$A,0))</f>
        <v>adjective</v>
      </c>
      <c r="F110" s="3"/>
      <c r="G110" s="3" t="str">
        <f>INDEX('Brown-Universal mapping'!$B:$B,MATCH(D110,'Brown-Universal mapping'!$A:$A,0))</f>
        <v>ADJ</v>
      </c>
      <c r="I110" s="5" t="s">
        <v>45</v>
      </c>
      <c r="J110" s="5" t="str">
        <f>INDEX('Brown tagset'!$B:$B,MATCH(IF(ISERROR(FIND("-",I110)),IF(ISERROR(FIND("+",I110)),I110,LEFT(I110,FIND("+",I110)-1)),LEFT(I110,FIND("-",I110)-1)),'Brown tagset'!$A:$A,0))</f>
        <v>adjective</v>
      </c>
      <c r="K110" s="5" t="s">
        <v>46</v>
      </c>
      <c r="L110" s="5" t="str">
        <f>INDEX('Brown-Universal mapping'!$B:$B,MATCH(I110,'Brown-Universal mapping'!$A:$A,0))</f>
        <v>ADJ</v>
      </c>
      <c r="M110" s="5">
        <f t="shared" si="11"/>
        <v>1</v>
      </c>
      <c r="N110" s="5">
        <f t="shared" si="12"/>
        <v>1</v>
      </c>
      <c r="P110" s="12" t="s">
        <v>117</v>
      </c>
      <c r="Q110" s="7" t="s">
        <v>299</v>
      </c>
      <c r="R110" s="7" t="str">
        <f>INDEX('Brown tagset'!$B:$B,MATCH(IF(ISERROR(FIND("-",Q110)),IF(ISERROR(FIND("+",Q110)),Q110,LEFT(Q110,FIND("+",Q110)-1)),LEFT(Q110,FIND("-",Q110)-1)),'Brown tagset'!$A:$A,0))</f>
        <v>adjective</v>
      </c>
      <c r="S110" s="7"/>
      <c r="T110" s="7" t="str">
        <f>INDEX('Brown-Universal mapping'!$B:$B,MATCH(Q110,'Brown-Universal mapping'!$A:$A,0))</f>
        <v>ADJ</v>
      </c>
      <c r="U110" s="7">
        <f t="shared" si="13"/>
        <v>1</v>
      </c>
      <c r="V110" s="7">
        <f t="shared" si="14"/>
        <v>1</v>
      </c>
      <c r="X110" s="12" t="s">
        <v>117</v>
      </c>
      <c r="Y110" s="7" t="s">
        <v>299</v>
      </c>
      <c r="Z110" s="7" t="str">
        <f>INDEX('Brown tagset'!$B:$B,MATCH(IF(ISERROR(FIND("-",Y110)),IF(ISERROR(FIND("+",Y110)),Y110,LEFT(Y110,FIND("+",Y110)-1)),LEFT(Y110,FIND("-",Y110)-1)),'Brown tagset'!$A:$A,0))</f>
        <v>adjective</v>
      </c>
      <c r="AA110" s="7"/>
      <c r="AB110" s="7" t="str">
        <f>INDEX('Brown-Universal mapping'!$B:$B,MATCH(Y110,'Brown-Universal mapping'!$A:$A,0))</f>
        <v>ADJ</v>
      </c>
      <c r="AC110" s="7">
        <f t="shared" si="17"/>
        <v>1</v>
      </c>
      <c r="AD110" s="7">
        <f t="shared" si="18"/>
        <v>1</v>
      </c>
      <c r="AF110" s="9" t="s">
        <v>45</v>
      </c>
      <c r="AG110" s="9" t="str">
        <f>INDEX('Brown tagset'!$B:$B,MATCH(IF(ISERROR(FIND("-",AF110)),IF(ISERROR(FIND("+",AF110)),AF110,LEFT(AF110,FIND("+",AF110)-1)),LEFT(AF110,FIND("-",AF110)-1)),'Brown tagset'!$A:$A,0))</f>
        <v>adjective</v>
      </c>
      <c r="AH110" s="9" t="s">
        <v>46</v>
      </c>
      <c r="AI110" s="9" t="str">
        <f>INDEX('Brown-Universal mapping'!$B:$B,MATCH(AF110,'Brown-Universal mapping'!$A:$A,0))</f>
        <v>ADJ</v>
      </c>
      <c r="AJ110" s="9">
        <f t="shared" si="15"/>
        <v>1</v>
      </c>
      <c r="AK110" s="9">
        <f t="shared" si="16"/>
        <v>1</v>
      </c>
      <c r="AM110" s="6">
        <f t="shared" si="19"/>
        <v>3</v>
      </c>
      <c r="AN110" s="6">
        <f t="shared" si="20"/>
        <v>3</v>
      </c>
      <c r="AP110" s="6" t="str">
        <f t="shared" si="21"/>
        <v>adjective3</v>
      </c>
    </row>
    <row r="111" spans="1:42" x14ac:dyDescent="0.25">
      <c r="A111" s="25" t="s">
        <v>11</v>
      </c>
      <c r="B111" s="25"/>
      <c r="D111" s="3" t="s">
        <v>12</v>
      </c>
      <c r="E111" s="3" t="str">
        <f>INDEX('Brown tagset'!$B:$B,MATCH(IF(ISERROR(FIND("-",D111)),IF(ISERROR(FIND("+",D111)),D111,LEFT(D111,FIND("+",D111)-1)),LEFT(D111,FIND("-",D111)-1)),'Brown tagset'!$A:$A,0))</f>
        <v>singular or mass noun</v>
      </c>
      <c r="F111" s="3"/>
      <c r="G111" s="3" t="str">
        <f>INDEX('Brown-Universal mapping'!$B:$B,MATCH(D111,'Brown-Universal mapping'!$A:$A,0))</f>
        <v>NOUN</v>
      </c>
      <c r="I111" s="5" t="s">
        <v>12</v>
      </c>
      <c r="J111" s="5" t="str">
        <f>INDEX('Brown tagset'!$B:$B,MATCH(IF(ISERROR(FIND("-",I111)),IF(ISERROR(FIND("+",I111)),I111,LEFT(I111,FIND("+",I111)-1)),LEFT(I111,FIND("-",I111)-1)),'Brown tagset'!$A:$A,0))</f>
        <v>singular or mass noun</v>
      </c>
      <c r="K111" s="5" t="s">
        <v>13</v>
      </c>
      <c r="L111" s="5" t="str">
        <f>INDEX('Brown-Universal mapping'!$B:$B,MATCH(I111,'Brown-Universal mapping'!$A:$A,0))</f>
        <v>NOUN</v>
      </c>
      <c r="M111" s="5">
        <f t="shared" si="11"/>
        <v>1</v>
      </c>
      <c r="N111" s="5">
        <f t="shared" si="12"/>
        <v>1</v>
      </c>
      <c r="P111" s="12" t="s">
        <v>11</v>
      </c>
      <c r="Q111" s="7" t="s">
        <v>289</v>
      </c>
      <c r="R111" s="7" t="str">
        <f>INDEX('Brown tagset'!$B:$B,MATCH(IF(ISERROR(FIND("-",Q111)),IF(ISERROR(FIND("+",Q111)),Q111,LEFT(Q111,FIND("+",Q111)-1)),LEFT(Q111,FIND("-",Q111)-1)),'Brown tagset'!$A:$A,0))</f>
        <v>singular or mass noun</v>
      </c>
      <c r="S111" s="7"/>
      <c r="T111" s="7" t="str">
        <f>INDEX('Brown-Universal mapping'!$B:$B,MATCH(Q111,'Brown-Universal mapping'!$A:$A,0))</f>
        <v>NOUN</v>
      </c>
      <c r="U111" s="7">
        <f t="shared" si="13"/>
        <v>1</v>
      </c>
      <c r="V111" s="7">
        <f t="shared" si="14"/>
        <v>1</v>
      </c>
      <c r="X111" s="12" t="s">
        <v>11</v>
      </c>
      <c r="Y111" s="7" t="s">
        <v>289</v>
      </c>
      <c r="Z111" s="7" t="str">
        <f>INDEX('Brown tagset'!$B:$B,MATCH(IF(ISERROR(FIND("-",Y111)),IF(ISERROR(FIND("+",Y111)),Y111,LEFT(Y111,FIND("+",Y111)-1)),LEFT(Y111,FIND("-",Y111)-1)),'Brown tagset'!$A:$A,0))</f>
        <v>singular or mass noun</v>
      </c>
      <c r="AA111" s="7"/>
      <c r="AB111" s="7" t="str">
        <f>INDEX('Brown-Universal mapping'!$B:$B,MATCH(Y111,'Brown-Universal mapping'!$A:$A,0))</f>
        <v>NOUN</v>
      </c>
      <c r="AC111" s="7">
        <f t="shared" si="17"/>
        <v>1</v>
      </c>
      <c r="AD111" s="7">
        <f t="shared" si="18"/>
        <v>1</v>
      </c>
      <c r="AF111" s="9" t="s">
        <v>340</v>
      </c>
      <c r="AG111" s="9" t="str">
        <f>INDEX('Brown tagset'!$B:$B,MATCH(IF(ISERROR(FIND("-",AF111)),IF(ISERROR(FIND("+",AF111)),AF111,LEFT(AF111,FIND("+",AF111)-1)),LEFT(AF111,FIND("-",AF111)-1)),'Brown tagset'!$A:$A,0))</f>
        <v>unknown</v>
      </c>
      <c r="AH111" s="9" t="s">
        <v>2</v>
      </c>
      <c r="AI111" s="9" t="str">
        <f>INDEX('Brown-Universal mapping'!$B:$B,MATCH(AF111,'Brown-Universal mapping'!$A:$A,0))</f>
        <v>Unknown</v>
      </c>
      <c r="AJ111" s="9">
        <f t="shared" si="15"/>
        <v>0</v>
      </c>
      <c r="AK111" s="9">
        <f t="shared" si="16"/>
        <v>0</v>
      </c>
      <c r="AM111" s="6">
        <f t="shared" si="19"/>
        <v>2</v>
      </c>
      <c r="AN111" s="6">
        <f t="shared" si="20"/>
        <v>2</v>
      </c>
      <c r="AP111" s="6" t="str">
        <f t="shared" si="21"/>
        <v>unknown2</v>
      </c>
    </row>
    <row r="112" spans="1:42" x14ac:dyDescent="0.25">
      <c r="A112" s="29" t="s">
        <v>118</v>
      </c>
      <c r="B112" s="29"/>
      <c r="D112" s="3" t="s">
        <v>119</v>
      </c>
      <c r="E112" s="3" t="str">
        <f>INDEX('Brown tagset'!$B:$B,MATCH(IF(ISERROR(FIND("-",D112)),IF(ISERROR(FIND("+",D112)),D112,LEFT(D112,FIND("+",D112)-1)),LEFT(D112,FIND("-",D112)-1)),'Brown tagset'!$A:$A,0))</f>
        <v>nominative wh- pronoun (who, which, that)</v>
      </c>
      <c r="F112" s="3"/>
      <c r="G112" s="3" t="str">
        <f>INDEX('Brown-Universal mapping'!$B:$B,MATCH(D112,'Brown-Universal mapping'!$A:$A,0))</f>
        <v>PRON</v>
      </c>
      <c r="I112" s="5" t="s">
        <v>119</v>
      </c>
      <c r="J112" s="5" t="str">
        <f>INDEX('Brown tagset'!$B:$B,MATCH(IF(ISERROR(FIND("-",I112)),IF(ISERROR(FIND("+",I112)),I112,LEFT(I112,FIND("+",I112)-1)),LEFT(I112,FIND("-",I112)-1)),'Brown tagset'!$A:$A,0))</f>
        <v>nominative wh- pronoun (who, which, that)</v>
      </c>
      <c r="K112" s="5" t="s">
        <v>2</v>
      </c>
      <c r="L112" s="5" t="str">
        <f>INDEX('Brown-Universal mapping'!$B:$B,MATCH(I112,'Brown-Universal mapping'!$A:$A,0))</f>
        <v>PRON</v>
      </c>
      <c r="M112" s="5">
        <f t="shared" si="11"/>
        <v>1</v>
      </c>
      <c r="N112" s="5">
        <f t="shared" si="12"/>
        <v>1</v>
      </c>
      <c r="P112" s="12" t="s">
        <v>118</v>
      </c>
      <c r="Q112" s="7" t="s">
        <v>317</v>
      </c>
      <c r="R112" s="7" t="str">
        <f>INDEX('Brown tagset'!$B:$B,MATCH(IF(ISERROR(FIND("-",Q112)),IF(ISERROR(FIND("+",Q112)),Q112,LEFT(Q112,FIND("+",Q112)-1)),LEFT(Q112,FIND("-",Q112)-1)),'Brown tagset'!$A:$A,0))</f>
        <v>nominative wh- pronoun (who, which, that)</v>
      </c>
      <c r="S112" s="7"/>
      <c r="T112" s="7" t="str">
        <f>INDEX('Brown-Universal mapping'!$B:$B,MATCH(Q112,'Brown-Universal mapping'!$A:$A,0))</f>
        <v>PRON</v>
      </c>
      <c r="U112" s="7">
        <f t="shared" si="13"/>
        <v>1</v>
      </c>
      <c r="V112" s="7">
        <f t="shared" si="14"/>
        <v>1</v>
      </c>
      <c r="X112" s="12" t="s">
        <v>118</v>
      </c>
      <c r="Y112" s="7" t="s">
        <v>317</v>
      </c>
      <c r="Z112" s="7" t="str">
        <f>INDEX('Brown tagset'!$B:$B,MATCH(IF(ISERROR(FIND("-",Y112)),IF(ISERROR(FIND("+",Y112)),Y112,LEFT(Y112,FIND("+",Y112)-1)),LEFT(Y112,FIND("-",Y112)-1)),'Brown tagset'!$A:$A,0))</f>
        <v>nominative wh- pronoun (who, which, that)</v>
      </c>
      <c r="AA112" s="7"/>
      <c r="AB112" s="7" t="str">
        <f>INDEX('Brown-Universal mapping'!$B:$B,MATCH(Y112,'Brown-Universal mapping'!$A:$A,0))</f>
        <v>PRON</v>
      </c>
      <c r="AC112" s="7">
        <f t="shared" si="17"/>
        <v>1</v>
      </c>
      <c r="AD112" s="7">
        <f t="shared" si="18"/>
        <v>1</v>
      </c>
      <c r="AF112" s="9" t="s">
        <v>119</v>
      </c>
      <c r="AG112" s="9" t="str">
        <f>INDEX('Brown tagset'!$B:$B,MATCH(IF(ISERROR(FIND("-",AF112)),IF(ISERROR(FIND("+",AF112)),AF112,LEFT(AF112,FIND("+",AF112)-1)),LEFT(AF112,FIND("-",AF112)-1)),'Brown tagset'!$A:$A,0))</f>
        <v>nominative wh- pronoun (who, which, that)</v>
      </c>
      <c r="AH112" s="9" t="s">
        <v>2</v>
      </c>
      <c r="AI112" s="9" t="str">
        <f>INDEX('Brown-Universal mapping'!$B:$B,MATCH(AF112,'Brown-Universal mapping'!$A:$A,0))</f>
        <v>PRON</v>
      </c>
      <c r="AJ112" s="9">
        <f t="shared" si="15"/>
        <v>1</v>
      </c>
      <c r="AK112" s="9">
        <f t="shared" si="16"/>
        <v>1</v>
      </c>
      <c r="AM112" s="6">
        <f t="shared" si="19"/>
        <v>3</v>
      </c>
      <c r="AN112" s="6">
        <f t="shared" si="20"/>
        <v>3</v>
      </c>
      <c r="AP112" s="6" t="str">
        <f t="shared" si="21"/>
        <v>nominative wh- pronoun (who, which, that)3</v>
      </c>
    </row>
    <row r="113" spans="1:42" x14ac:dyDescent="0.25">
      <c r="A113" s="29" t="s">
        <v>14</v>
      </c>
      <c r="B113" s="29"/>
      <c r="D113" s="3" t="s">
        <v>15</v>
      </c>
      <c r="E113" s="3" t="str">
        <f>INDEX('Brown tagset'!$B:$B,MATCH(IF(ISERROR(FIND("-",D113)),IF(ISERROR(FIND("+",D113)),D113,LEFT(D113,FIND("+",D113)-1)),LEFT(D113,FIND("-",D113)-1)),'Brown tagset'!$A:$A,0))</f>
        <v>has</v>
      </c>
      <c r="F113" s="3"/>
      <c r="G113" s="3" t="str">
        <f>INDEX('Brown-Universal mapping'!$B:$B,MATCH(D113,'Brown-Universal mapping'!$A:$A,0))</f>
        <v>VERB</v>
      </c>
      <c r="I113" s="5" t="s">
        <v>15</v>
      </c>
      <c r="J113" s="5" t="str">
        <f>INDEX('Brown tagset'!$B:$B,MATCH(IF(ISERROR(FIND("-",I113)),IF(ISERROR(FIND("+",I113)),I113,LEFT(I113,FIND("+",I113)-1)),LEFT(I113,FIND("-",I113)-1)),'Brown tagset'!$A:$A,0))</f>
        <v>has</v>
      </c>
      <c r="K113" s="5" t="s">
        <v>2</v>
      </c>
      <c r="L113" s="5" t="str">
        <f>INDEX('Brown-Universal mapping'!$B:$B,MATCH(I113,'Brown-Universal mapping'!$A:$A,0))</f>
        <v>VERB</v>
      </c>
      <c r="M113" s="5">
        <f t="shared" si="11"/>
        <v>1</v>
      </c>
      <c r="N113" s="5">
        <f t="shared" si="12"/>
        <v>1</v>
      </c>
      <c r="P113" s="12" t="s">
        <v>14</v>
      </c>
      <c r="Q113" s="7" t="s">
        <v>290</v>
      </c>
      <c r="R113" s="7" t="str">
        <f>INDEX('Brown tagset'!$B:$B,MATCH(IF(ISERROR(FIND("-",Q113)),IF(ISERROR(FIND("+",Q113)),Q113,LEFT(Q113,FIND("+",Q113)-1)),LEFT(Q113,FIND("-",Q113)-1)),'Brown tagset'!$A:$A,0))</f>
        <v>has</v>
      </c>
      <c r="S113" s="7"/>
      <c r="T113" s="7" t="str">
        <f>INDEX('Brown-Universal mapping'!$B:$B,MATCH(Q113,'Brown-Universal mapping'!$A:$A,0))</f>
        <v>VERB</v>
      </c>
      <c r="U113" s="7">
        <f t="shared" si="13"/>
        <v>1</v>
      </c>
      <c r="V113" s="7">
        <f t="shared" si="14"/>
        <v>1</v>
      </c>
      <c r="X113" s="12" t="s">
        <v>14</v>
      </c>
      <c r="Y113" s="7" t="s">
        <v>290</v>
      </c>
      <c r="Z113" s="7" t="str">
        <f>INDEX('Brown tagset'!$B:$B,MATCH(IF(ISERROR(FIND("-",Y113)),IF(ISERROR(FIND("+",Y113)),Y113,LEFT(Y113,FIND("+",Y113)-1)),LEFT(Y113,FIND("-",Y113)-1)),'Brown tagset'!$A:$A,0))</f>
        <v>has</v>
      </c>
      <c r="AA113" s="7"/>
      <c r="AB113" s="7" t="str">
        <f>INDEX('Brown-Universal mapping'!$B:$B,MATCH(Y113,'Brown-Universal mapping'!$A:$A,0))</f>
        <v>VERB</v>
      </c>
      <c r="AC113" s="7">
        <f t="shared" si="17"/>
        <v>1</v>
      </c>
      <c r="AD113" s="7">
        <f t="shared" si="18"/>
        <v>1</v>
      </c>
      <c r="AF113" s="9" t="s">
        <v>15</v>
      </c>
      <c r="AG113" s="9" t="str">
        <f>INDEX('Brown tagset'!$B:$B,MATCH(IF(ISERROR(FIND("-",AF113)),IF(ISERROR(FIND("+",AF113)),AF113,LEFT(AF113,FIND("+",AF113)-1)),LEFT(AF113,FIND("-",AF113)-1)),'Brown tagset'!$A:$A,0))</f>
        <v>has</v>
      </c>
      <c r="AH113" s="9" t="s">
        <v>2</v>
      </c>
      <c r="AI113" s="9" t="str">
        <f>INDEX('Brown-Universal mapping'!$B:$B,MATCH(AF113,'Brown-Universal mapping'!$A:$A,0))</f>
        <v>VERB</v>
      </c>
      <c r="AJ113" s="9">
        <f t="shared" si="15"/>
        <v>1</v>
      </c>
      <c r="AK113" s="9">
        <f t="shared" si="16"/>
        <v>1</v>
      </c>
      <c r="AM113" s="6">
        <f t="shared" si="19"/>
        <v>3</v>
      </c>
      <c r="AN113" s="6">
        <f t="shared" si="20"/>
        <v>3</v>
      </c>
      <c r="AP113" s="6" t="str">
        <f t="shared" si="21"/>
        <v>has3</v>
      </c>
    </row>
    <row r="114" spans="1:42" x14ac:dyDescent="0.25">
      <c r="A114" s="29" t="s">
        <v>120</v>
      </c>
      <c r="B114" s="29"/>
      <c r="C114" s="4">
        <v>1</v>
      </c>
      <c r="D114" s="3" t="s">
        <v>4</v>
      </c>
      <c r="E114" s="3" t="str">
        <f>INDEX('Brown tagset'!$B:$B,MATCH(IF(ISERROR(FIND("-",D114)),IF(ISERROR(FIND("+",D114)),D114,LEFT(D114,FIND("+",D114)-1)),LEFT(D114,FIND("-",D114)-1)),'Brown tagset'!$A:$A,0))</f>
        <v>adverb</v>
      </c>
      <c r="F114" s="3"/>
      <c r="G114" s="3" t="str">
        <f>INDEX('Brown-Universal mapping'!$B:$B,MATCH(D114,'Brown-Universal mapping'!$A:$A,0))</f>
        <v>ADV</v>
      </c>
      <c r="I114" s="5" t="s">
        <v>4</v>
      </c>
      <c r="J114" s="5" t="str">
        <f>INDEX('Brown tagset'!$B:$B,MATCH(IF(ISERROR(FIND("-",I114)),IF(ISERROR(FIND("+",I114)),I114,LEFT(I114,FIND("+",I114)-1)),LEFT(I114,FIND("-",I114)-1)),'Brown tagset'!$A:$A,0))</f>
        <v>adverb</v>
      </c>
      <c r="K114" s="5" t="s">
        <v>5</v>
      </c>
      <c r="L114" s="5" t="str">
        <f>INDEX('Brown-Universal mapping'!$B:$B,MATCH(I114,'Brown-Universal mapping'!$A:$A,0))</f>
        <v>ADV</v>
      </c>
      <c r="M114" s="5">
        <f t="shared" si="11"/>
        <v>1</v>
      </c>
      <c r="N114" s="5">
        <f t="shared" si="12"/>
        <v>1</v>
      </c>
      <c r="P114" s="12" t="s">
        <v>120</v>
      </c>
      <c r="Q114" s="7" t="s">
        <v>288</v>
      </c>
      <c r="R114" s="7" t="str">
        <f>INDEX('Brown tagset'!$B:$B,MATCH(IF(ISERROR(FIND("-",Q114)),IF(ISERROR(FIND("+",Q114)),Q114,LEFT(Q114,FIND("+",Q114)-1)),LEFT(Q114,FIND("-",Q114)-1)),'Brown tagset'!$A:$A,0))</f>
        <v>adverb</v>
      </c>
      <c r="S114" s="7"/>
      <c r="T114" s="7" t="str">
        <f>INDEX('Brown-Universal mapping'!$B:$B,MATCH(Q114,'Brown-Universal mapping'!$A:$A,0))</f>
        <v>ADV</v>
      </c>
      <c r="U114" s="7">
        <f t="shared" si="13"/>
        <v>1</v>
      </c>
      <c r="V114" s="7">
        <f t="shared" si="14"/>
        <v>1</v>
      </c>
      <c r="X114" s="12" t="s">
        <v>120</v>
      </c>
      <c r="Y114" s="7" t="s">
        <v>288</v>
      </c>
      <c r="Z114" s="7" t="str">
        <f>INDEX('Brown tagset'!$B:$B,MATCH(IF(ISERROR(FIND("-",Y114)),IF(ISERROR(FIND("+",Y114)),Y114,LEFT(Y114,FIND("+",Y114)-1)),LEFT(Y114,FIND("-",Y114)-1)),'Brown tagset'!$A:$A,0))</f>
        <v>adverb</v>
      </c>
      <c r="AA114" s="7"/>
      <c r="AB114" s="7" t="str">
        <f>INDEX('Brown-Universal mapping'!$B:$B,MATCH(Y114,'Brown-Universal mapping'!$A:$A,0))</f>
        <v>ADV</v>
      </c>
      <c r="AC114" s="7">
        <f t="shared" si="17"/>
        <v>1</v>
      </c>
      <c r="AD114" s="7">
        <f t="shared" si="18"/>
        <v>1</v>
      </c>
      <c r="AF114" s="9" t="s">
        <v>4</v>
      </c>
      <c r="AG114" s="9" t="str">
        <f>INDEX('Brown tagset'!$B:$B,MATCH(IF(ISERROR(FIND("-",AF114)),IF(ISERROR(FIND("+",AF114)),AF114,LEFT(AF114,FIND("+",AF114)-1)),LEFT(AF114,FIND("-",AF114)-1)),'Brown tagset'!$A:$A,0))</f>
        <v>adverb</v>
      </c>
      <c r="AH114" s="9" t="s">
        <v>5</v>
      </c>
      <c r="AI114" s="9" t="str">
        <f>INDEX('Brown-Universal mapping'!$B:$B,MATCH(AF114,'Brown-Universal mapping'!$A:$A,0))</f>
        <v>ADV</v>
      </c>
      <c r="AJ114" s="9">
        <f t="shared" si="15"/>
        <v>1</v>
      </c>
      <c r="AK114" s="9">
        <f t="shared" si="16"/>
        <v>1</v>
      </c>
      <c r="AM114" s="6">
        <f t="shared" si="19"/>
        <v>3</v>
      </c>
      <c r="AN114" s="6">
        <f t="shared" si="20"/>
        <v>3</v>
      </c>
      <c r="AP114" s="6" t="str">
        <f t="shared" si="21"/>
        <v>adverb3</v>
      </c>
    </row>
    <row r="115" spans="1:42" x14ac:dyDescent="0.25">
      <c r="A115" s="4" t="s">
        <v>121</v>
      </c>
      <c r="D115" s="3" t="s">
        <v>122</v>
      </c>
      <c r="E115" s="3" t="str">
        <f>INDEX('Brown tagset'!$B:$B,MATCH(IF(ISERROR(FIND("-",D115)),IF(ISERROR(FIND("+",D115)),D115,LEFT(D115,FIND("+",D115)-1)),LEFT(D115,FIND("-",D115)-1)),'Brown tagset'!$A:$A,0))</f>
        <v>had (past participle)</v>
      </c>
      <c r="F115" s="3"/>
      <c r="G115" s="3" t="str">
        <f>INDEX('Brown-Universal mapping'!$B:$B,MATCH(D115,'Brown-Universal mapping'!$A:$A,0))</f>
        <v>VERB</v>
      </c>
      <c r="I115" s="5" t="s">
        <v>122</v>
      </c>
      <c r="J115" s="5" t="str">
        <f>INDEX('Brown tagset'!$B:$B,MATCH(IF(ISERROR(FIND("-",I115)),IF(ISERROR(FIND("+",I115)),I115,LEFT(I115,FIND("+",I115)-1)),LEFT(I115,FIND("-",I115)-1)),'Brown tagset'!$A:$A,0))</f>
        <v>had (past participle)</v>
      </c>
      <c r="K115" s="5" t="s">
        <v>2</v>
      </c>
      <c r="L115" s="5" t="str">
        <f>INDEX('Brown-Universal mapping'!$B:$B,MATCH(I115,'Brown-Universal mapping'!$A:$A,0))</f>
        <v>VERB</v>
      </c>
      <c r="M115" s="5">
        <f t="shared" si="11"/>
        <v>1</v>
      </c>
      <c r="N115" s="5">
        <f t="shared" si="12"/>
        <v>1</v>
      </c>
      <c r="P115" s="12" t="s">
        <v>121</v>
      </c>
      <c r="Q115" s="7" t="s">
        <v>318</v>
      </c>
      <c r="R115" s="7" t="str">
        <f>INDEX('Brown tagset'!$B:$B,MATCH(IF(ISERROR(FIND("-",Q115)),IF(ISERROR(FIND("+",Q115)),Q115,LEFT(Q115,FIND("+",Q115)-1)),LEFT(Q115,FIND("-",Q115)-1)),'Brown tagset'!$A:$A,0))</f>
        <v>had (past tense)</v>
      </c>
      <c r="S115" s="7"/>
      <c r="T115" s="7" t="str">
        <f>INDEX('Brown-Universal mapping'!$B:$B,MATCH(Q115,'Brown-Universal mapping'!$A:$A,0))</f>
        <v>VERB</v>
      </c>
      <c r="U115" s="7">
        <f t="shared" si="13"/>
        <v>0</v>
      </c>
      <c r="V115" s="7">
        <f t="shared" si="14"/>
        <v>1</v>
      </c>
      <c r="X115" s="12" t="s">
        <v>121</v>
      </c>
      <c r="Y115" s="7" t="s">
        <v>318</v>
      </c>
      <c r="Z115" s="7" t="str">
        <f>INDEX('Brown tagset'!$B:$B,MATCH(IF(ISERROR(FIND("-",Y115)),IF(ISERROR(FIND("+",Y115)),Y115,LEFT(Y115,FIND("+",Y115)-1)),LEFT(Y115,FIND("-",Y115)-1)),'Brown tagset'!$A:$A,0))</f>
        <v>had (past tense)</v>
      </c>
      <c r="AA115" s="7"/>
      <c r="AB115" s="7" t="str">
        <f>INDEX('Brown-Universal mapping'!$B:$B,MATCH(Y115,'Brown-Universal mapping'!$A:$A,0))</f>
        <v>VERB</v>
      </c>
      <c r="AC115" s="7">
        <f t="shared" si="17"/>
        <v>0</v>
      </c>
      <c r="AD115" s="7">
        <f t="shared" si="18"/>
        <v>1</v>
      </c>
      <c r="AF115" s="9" t="s">
        <v>122</v>
      </c>
      <c r="AG115" s="9" t="str">
        <f>INDEX('Brown tagset'!$B:$B,MATCH(IF(ISERROR(FIND("-",AF115)),IF(ISERROR(FIND("+",AF115)),AF115,LEFT(AF115,FIND("+",AF115)-1)),LEFT(AF115,FIND("-",AF115)-1)),'Brown tagset'!$A:$A,0))</f>
        <v>had (past participle)</v>
      </c>
      <c r="AH115" s="9" t="s">
        <v>2</v>
      </c>
      <c r="AI115" s="9" t="str">
        <f>INDEX('Brown-Universal mapping'!$B:$B,MATCH(AF115,'Brown-Universal mapping'!$A:$A,0))</f>
        <v>VERB</v>
      </c>
      <c r="AJ115" s="9">
        <f t="shared" si="15"/>
        <v>1</v>
      </c>
      <c r="AK115" s="9">
        <f t="shared" si="16"/>
        <v>1</v>
      </c>
      <c r="AM115" s="6">
        <f t="shared" si="19"/>
        <v>2</v>
      </c>
      <c r="AN115" s="6">
        <f t="shared" si="20"/>
        <v>3</v>
      </c>
      <c r="AP115" s="6" t="str">
        <f t="shared" si="21"/>
        <v>had (past participle)2</v>
      </c>
    </row>
    <row r="116" spans="1:42" x14ac:dyDescent="0.25">
      <c r="A116" s="29" t="s">
        <v>16</v>
      </c>
      <c r="B116" s="29"/>
      <c r="D116" s="3" t="s">
        <v>17</v>
      </c>
      <c r="E116" s="3" t="str">
        <f>INDEX('Brown tagset'!$B:$B,MATCH(IF(ISERROR(FIND("-",D116)),IF(ISERROR(FIND("+",D116)),D116,LEFT(D116,FIND("+",D116)-1)),LEFT(D116,FIND("-",D116)-1)),'Brown tagset'!$A:$A,0))</f>
        <v>infinitive marker to</v>
      </c>
      <c r="F116" s="3"/>
      <c r="G116" s="3" t="str">
        <f>INDEX('Brown-Universal mapping'!$B:$B,MATCH(D116,'Brown-Universal mapping'!$A:$A,0))</f>
        <v>PRT</v>
      </c>
      <c r="I116" s="5" t="s">
        <v>17</v>
      </c>
      <c r="J116" s="5" t="str">
        <f>INDEX('Brown tagset'!$B:$B,MATCH(IF(ISERROR(FIND("-",I116)),IF(ISERROR(FIND("+",I116)),I116,LEFT(I116,FIND("+",I116)-1)),LEFT(I116,FIND("-",I116)-1)),'Brown tagset'!$A:$A,0))</f>
        <v>infinitive marker to</v>
      </c>
      <c r="K116" s="5" t="s">
        <v>18</v>
      </c>
      <c r="L116" s="5" t="str">
        <f>INDEX('Brown-Universal mapping'!$B:$B,MATCH(I116,'Brown-Universal mapping'!$A:$A,0))</f>
        <v>PRT</v>
      </c>
      <c r="M116" s="5">
        <f t="shared" si="11"/>
        <v>1</v>
      </c>
      <c r="N116" s="5">
        <f t="shared" si="12"/>
        <v>1</v>
      </c>
      <c r="P116" s="12" t="s">
        <v>16</v>
      </c>
      <c r="Q116" s="7" t="s">
        <v>16</v>
      </c>
      <c r="R116" s="7" t="str">
        <f>INDEX('Brown tagset'!$B:$B,MATCH(IF(ISERROR(FIND("-",Q116)),IF(ISERROR(FIND("+",Q116)),Q116,LEFT(Q116,FIND("+",Q116)-1)),LEFT(Q116,FIND("-",Q116)-1)),'Brown tagset'!$A:$A,0))</f>
        <v>infinitive marker to</v>
      </c>
      <c r="S116" s="7"/>
      <c r="T116" s="7" t="str">
        <f>INDEX('Brown-Universal mapping'!$B:$B,MATCH(Q116,'Brown-Universal mapping'!$A:$A,0))</f>
        <v>PRT</v>
      </c>
      <c r="U116" s="7">
        <f t="shared" si="13"/>
        <v>1</v>
      </c>
      <c r="V116" s="7">
        <f t="shared" si="14"/>
        <v>1</v>
      </c>
      <c r="X116" s="12" t="s">
        <v>16</v>
      </c>
      <c r="Y116" s="7" t="s">
        <v>16</v>
      </c>
      <c r="Z116" s="7" t="str">
        <f>INDEX('Brown tagset'!$B:$B,MATCH(IF(ISERROR(FIND("-",Y116)),IF(ISERROR(FIND("+",Y116)),Y116,LEFT(Y116,FIND("+",Y116)-1)),LEFT(Y116,FIND("-",Y116)-1)),'Brown tagset'!$A:$A,0))</f>
        <v>infinitive marker to</v>
      </c>
      <c r="AA116" s="7"/>
      <c r="AB116" s="7" t="str">
        <f>INDEX('Brown-Universal mapping'!$B:$B,MATCH(Y116,'Brown-Universal mapping'!$A:$A,0))</f>
        <v>PRT</v>
      </c>
      <c r="AC116" s="7">
        <f t="shared" si="17"/>
        <v>1</v>
      </c>
      <c r="AD116" s="7">
        <f t="shared" si="18"/>
        <v>1</v>
      </c>
      <c r="AF116" s="9" t="s">
        <v>17</v>
      </c>
      <c r="AG116" s="9" t="str">
        <f>INDEX('Brown tagset'!$B:$B,MATCH(IF(ISERROR(FIND("-",AF116)),IF(ISERROR(FIND("+",AF116)),AF116,LEFT(AF116,FIND("+",AF116)-1)),LEFT(AF116,FIND("-",AF116)-1)),'Brown tagset'!$A:$A,0))</f>
        <v>infinitive marker to</v>
      </c>
      <c r="AH116" s="9" t="s">
        <v>18</v>
      </c>
      <c r="AI116" s="9" t="str">
        <f>INDEX('Brown-Universal mapping'!$B:$B,MATCH(AF116,'Brown-Universal mapping'!$A:$A,0))</f>
        <v>PRT</v>
      </c>
      <c r="AJ116" s="9">
        <f t="shared" si="15"/>
        <v>1</v>
      </c>
      <c r="AK116" s="9">
        <f t="shared" si="16"/>
        <v>1</v>
      </c>
      <c r="AM116" s="6">
        <f t="shared" si="19"/>
        <v>3</v>
      </c>
      <c r="AN116" s="6">
        <f t="shared" si="20"/>
        <v>3</v>
      </c>
      <c r="AP116" s="6" t="str">
        <f t="shared" si="21"/>
        <v>infinitive marker to3</v>
      </c>
    </row>
    <row r="117" spans="1:42" x14ac:dyDescent="0.25">
      <c r="A117" s="29" t="s">
        <v>123</v>
      </c>
      <c r="B117" s="29"/>
      <c r="D117" s="3" t="s">
        <v>35</v>
      </c>
      <c r="E117" s="3" t="str">
        <f>INDEX('Brown tagset'!$B:$B,MATCH(IF(ISERROR(FIND("-",D117)),IF(ISERROR(FIND("+",D117)),D117,LEFT(D117,FIND("+",D117)-1)),LEFT(D117,FIND("-",D117)-1)),'Brown tagset'!$A:$A,0))</f>
        <v>verb, base form</v>
      </c>
      <c r="F117" s="3"/>
      <c r="G117" s="3" t="str">
        <f>INDEX('Brown-Universal mapping'!$B:$B,MATCH(D117,'Brown-Universal mapping'!$A:$A,0))</f>
        <v>VERB</v>
      </c>
      <c r="I117" s="5" t="s">
        <v>35</v>
      </c>
      <c r="J117" s="5" t="str">
        <f>INDEX('Brown tagset'!$B:$B,MATCH(IF(ISERROR(FIND("-",I117)),IF(ISERROR(FIND("+",I117)),I117,LEFT(I117,FIND("+",I117)-1)),LEFT(I117,FIND("-",I117)-1)),'Brown tagset'!$A:$A,0))</f>
        <v>verb, base form</v>
      </c>
      <c r="K117" s="5" t="s">
        <v>10</v>
      </c>
      <c r="L117" s="5" t="str">
        <f>INDEX('Brown-Universal mapping'!$B:$B,MATCH(I117,'Brown-Universal mapping'!$A:$A,0))</f>
        <v>VERB</v>
      </c>
      <c r="M117" s="5">
        <f t="shared" si="11"/>
        <v>1</v>
      </c>
      <c r="N117" s="5">
        <f t="shared" si="12"/>
        <v>1</v>
      </c>
      <c r="P117" s="12" t="s">
        <v>123</v>
      </c>
      <c r="Q117" s="7" t="s">
        <v>289</v>
      </c>
      <c r="R117" s="7" t="str">
        <f>INDEX('Brown tagset'!$B:$B,MATCH(IF(ISERROR(FIND("-",Q117)),IF(ISERROR(FIND("+",Q117)),Q117,LEFT(Q117,FIND("+",Q117)-1)),LEFT(Q117,FIND("-",Q117)-1)),'Brown tagset'!$A:$A,0))</f>
        <v>singular or mass noun</v>
      </c>
      <c r="S117" s="7"/>
      <c r="T117" s="7" t="str">
        <f>INDEX('Brown-Universal mapping'!$B:$B,MATCH(Q117,'Brown-Universal mapping'!$A:$A,0))</f>
        <v>NOUN</v>
      </c>
      <c r="U117" s="7">
        <f t="shared" si="13"/>
        <v>0</v>
      </c>
      <c r="V117" s="7">
        <f t="shared" si="14"/>
        <v>0</v>
      </c>
      <c r="X117" s="12" t="s">
        <v>123</v>
      </c>
      <c r="Y117" s="7" t="s">
        <v>296</v>
      </c>
      <c r="Z117" s="7" t="str">
        <f>INDEX('Brown tagset'!$B:$B,MATCH(IF(ISERROR(FIND("-",Y117)),IF(ISERROR(FIND("+",Y117)),Y117,LEFT(Y117,FIND("+",Y117)-1)),LEFT(Y117,FIND("-",Y117)-1)),'Brown tagset'!$A:$A,0))</f>
        <v>verb, base form</v>
      </c>
      <c r="AA117" s="7"/>
      <c r="AB117" s="7" t="str">
        <f>INDEX('Brown-Universal mapping'!$B:$B,MATCH(Y117,'Brown-Universal mapping'!$A:$A,0))</f>
        <v>VERB</v>
      </c>
      <c r="AC117" s="7">
        <f t="shared" si="17"/>
        <v>1</v>
      </c>
      <c r="AD117" s="7">
        <f t="shared" si="18"/>
        <v>1</v>
      </c>
      <c r="AF117" s="9" t="s">
        <v>35</v>
      </c>
      <c r="AG117" s="9" t="str">
        <f>INDEX('Brown tagset'!$B:$B,MATCH(IF(ISERROR(FIND("-",AF117)),IF(ISERROR(FIND("+",AF117)),AF117,LEFT(AF117,FIND("+",AF117)-1)),LEFT(AF117,FIND("-",AF117)-1)),'Brown tagset'!$A:$A,0))</f>
        <v>verb, base form</v>
      </c>
      <c r="AH117" s="9" t="s">
        <v>10</v>
      </c>
      <c r="AI117" s="9" t="str">
        <f>INDEX('Brown-Universal mapping'!$B:$B,MATCH(AF117,'Brown-Universal mapping'!$A:$A,0))</f>
        <v>VERB</v>
      </c>
      <c r="AJ117" s="9">
        <f t="shared" si="15"/>
        <v>1</v>
      </c>
      <c r="AK117" s="9">
        <f t="shared" si="16"/>
        <v>1</v>
      </c>
      <c r="AM117" s="6">
        <f t="shared" si="19"/>
        <v>3</v>
      </c>
      <c r="AN117" s="6">
        <f t="shared" si="20"/>
        <v>3</v>
      </c>
      <c r="AP117" s="6" t="str">
        <f t="shared" si="21"/>
        <v>verb, base form3</v>
      </c>
    </row>
    <row r="118" spans="1:42" x14ac:dyDescent="0.25">
      <c r="A118" s="29" t="s">
        <v>124</v>
      </c>
      <c r="B118" s="29"/>
      <c r="D118" s="3" t="s">
        <v>59</v>
      </c>
      <c r="E118" s="3" t="str">
        <f>INDEX('Brown tagset'!$B:$B,MATCH(IF(ISERROR(FIND("-",D118)),IF(ISERROR(FIND("+",D118)),D118,LEFT(D118,FIND("+",D118)-1)),LEFT(D118,FIND("-",D118)-1)),'Brown tagset'!$A:$A,0))</f>
        <v>preposition</v>
      </c>
      <c r="F118" s="3"/>
      <c r="G118" s="3" t="str">
        <f>INDEX('Brown-Universal mapping'!$B:$B,MATCH(D118,'Brown-Universal mapping'!$A:$A,0))</f>
        <v>ADP</v>
      </c>
      <c r="I118" s="5" t="s">
        <v>59</v>
      </c>
      <c r="J118" s="5" t="str">
        <f>INDEX('Brown tagset'!$B:$B,MATCH(IF(ISERROR(FIND("-",I118)),IF(ISERROR(FIND("+",I118)),I118,LEFT(I118,FIND("+",I118)-1)),LEFT(I118,FIND("-",I118)-1)),'Brown tagset'!$A:$A,0))</f>
        <v>preposition</v>
      </c>
      <c r="K118" s="5" t="s">
        <v>60</v>
      </c>
      <c r="L118" s="5" t="str">
        <f>INDEX('Brown-Universal mapping'!$B:$B,MATCH(I118,'Brown-Universal mapping'!$A:$A,0))</f>
        <v>ADP</v>
      </c>
      <c r="M118" s="5">
        <f t="shared" si="11"/>
        <v>1</v>
      </c>
      <c r="N118" s="5">
        <f t="shared" si="12"/>
        <v>1</v>
      </c>
      <c r="P118" s="12" t="s">
        <v>124</v>
      </c>
      <c r="Q118" s="7" t="s">
        <v>124</v>
      </c>
      <c r="R118" s="7" t="str">
        <f>INDEX('Brown tagset'!$B:$B,MATCH(IF(ISERROR(FIND("-",Q118)),IF(ISERROR(FIND("+",Q118)),Q118,LEFT(Q118,FIND("+",Q118)-1)),LEFT(Q118,FIND("-",Q118)-1)),'Brown tagset'!$A:$A,0))</f>
        <v>preposition</v>
      </c>
      <c r="S118" s="7"/>
      <c r="T118" s="7" t="str">
        <f>INDEX('Brown-Universal mapping'!$B:$B,MATCH(Q118,'Brown-Universal mapping'!$A:$A,0))</f>
        <v>ADP</v>
      </c>
      <c r="U118" s="7">
        <f t="shared" si="13"/>
        <v>1</v>
      </c>
      <c r="V118" s="7">
        <f t="shared" si="14"/>
        <v>1</v>
      </c>
      <c r="X118" s="12" t="s">
        <v>124</v>
      </c>
      <c r="Y118" s="7" t="s">
        <v>124</v>
      </c>
      <c r="Z118" s="7" t="str">
        <f>INDEX('Brown tagset'!$B:$B,MATCH(IF(ISERROR(FIND("-",Y118)),IF(ISERROR(FIND("+",Y118)),Y118,LEFT(Y118,FIND("+",Y118)-1)),LEFT(Y118,FIND("-",Y118)-1)),'Brown tagset'!$A:$A,0))</f>
        <v>preposition</v>
      </c>
      <c r="AA118" s="7"/>
      <c r="AB118" s="7" t="str">
        <f>INDEX('Brown-Universal mapping'!$B:$B,MATCH(Y118,'Brown-Universal mapping'!$A:$A,0))</f>
        <v>ADP</v>
      </c>
      <c r="AC118" s="7">
        <f t="shared" si="17"/>
        <v>1</v>
      </c>
      <c r="AD118" s="7">
        <f t="shared" si="18"/>
        <v>1</v>
      </c>
      <c r="AF118" s="9" t="s">
        <v>59</v>
      </c>
      <c r="AG118" s="9" t="str">
        <f>INDEX('Brown tagset'!$B:$B,MATCH(IF(ISERROR(FIND("-",AF118)),IF(ISERROR(FIND("+",AF118)),AF118,LEFT(AF118,FIND("+",AF118)-1)),LEFT(AF118,FIND("-",AF118)-1)),'Brown tagset'!$A:$A,0))</f>
        <v>preposition</v>
      </c>
      <c r="AH118" s="9" t="s">
        <v>60</v>
      </c>
      <c r="AI118" s="9" t="str">
        <f>INDEX('Brown-Universal mapping'!$B:$B,MATCH(AF118,'Brown-Universal mapping'!$A:$A,0))</f>
        <v>ADP</v>
      </c>
      <c r="AJ118" s="9">
        <f t="shared" si="15"/>
        <v>1</v>
      </c>
      <c r="AK118" s="9">
        <f t="shared" si="16"/>
        <v>1</v>
      </c>
      <c r="AM118" s="6">
        <f t="shared" si="19"/>
        <v>3</v>
      </c>
      <c r="AN118" s="6">
        <f t="shared" si="20"/>
        <v>3</v>
      </c>
      <c r="AP118" s="6" t="str">
        <f t="shared" si="21"/>
        <v>preposition3</v>
      </c>
    </row>
    <row r="119" spans="1:42" x14ac:dyDescent="0.25">
      <c r="A119" s="29" t="s">
        <v>125</v>
      </c>
      <c r="B119" s="29"/>
      <c r="D119" s="3" t="s">
        <v>12</v>
      </c>
      <c r="E119" s="3" t="str">
        <f>INDEX('Brown tagset'!$B:$B,MATCH(IF(ISERROR(FIND("-",D119)),IF(ISERROR(FIND("+",D119)),D119,LEFT(D119,FIND("+",D119)-1)),LEFT(D119,FIND("-",D119)-1)),'Brown tagset'!$A:$A,0))</f>
        <v>singular or mass noun</v>
      </c>
      <c r="F119" s="3"/>
      <c r="G119" s="3" t="str">
        <f>INDEX('Brown-Universal mapping'!$B:$B,MATCH(D119,'Brown-Universal mapping'!$A:$A,0))</f>
        <v>NOUN</v>
      </c>
      <c r="I119" s="5" t="s">
        <v>12</v>
      </c>
      <c r="J119" s="5" t="str">
        <f>INDEX('Brown tagset'!$B:$B,MATCH(IF(ISERROR(FIND("-",I119)),IF(ISERROR(FIND("+",I119)),I119,LEFT(I119,FIND("+",I119)-1)),LEFT(I119,FIND("-",I119)-1)),'Brown tagset'!$A:$A,0))</f>
        <v>singular or mass noun</v>
      </c>
      <c r="K119" s="5" t="s">
        <v>13</v>
      </c>
      <c r="L119" s="5" t="str">
        <f>INDEX('Brown-Universal mapping'!$B:$B,MATCH(I119,'Brown-Universal mapping'!$A:$A,0))</f>
        <v>NOUN</v>
      </c>
      <c r="M119" s="5">
        <f t="shared" si="11"/>
        <v>1</v>
      </c>
      <c r="N119" s="5">
        <f t="shared" si="12"/>
        <v>1</v>
      </c>
      <c r="P119" s="12" t="s">
        <v>125</v>
      </c>
      <c r="Q119" s="7" t="s">
        <v>299</v>
      </c>
      <c r="R119" s="7" t="str">
        <f>INDEX('Brown tagset'!$B:$B,MATCH(IF(ISERROR(FIND("-",Q119)),IF(ISERROR(FIND("+",Q119)),Q119,LEFT(Q119,FIND("+",Q119)-1)),LEFT(Q119,FIND("-",Q119)-1)),'Brown tagset'!$A:$A,0))</f>
        <v>adjective</v>
      </c>
      <c r="S119" s="7"/>
      <c r="T119" s="7" t="str">
        <f>INDEX('Brown-Universal mapping'!$B:$B,MATCH(Q119,'Brown-Universal mapping'!$A:$A,0))</f>
        <v>ADJ</v>
      </c>
      <c r="U119" s="7">
        <f t="shared" si="13"/>
        <v>0</v>
      </c>
      <c r="V119" s="7">
        <f t="shared" si="14"/>
        <v>0</v>
      </c>
      <c r="X119" s="12" t="s">
        <v>125</v>
      </c>
      <c r="Y119" s="7" t="s">
        <v>289</v>
      </c>
      <c r="Z119" s="7" t="str">
        <f>INDEX('Brown tagset'!$B:$B,MATCH(IF(ISERROR(FIND("-",Y119)),IF(ISERROR(FIND("+",Y119)),Y119,LEFT(Y119,FIND("+",Y119)-1)),LEFT(Y119,FIND("-",Y119)-1)),'Brown tagset'!$A:$A,0))</f>
        <v>singular or mass noun</v>
      </c>
      <c r="AA119" s="7"/>
      <c r="AB119" s="7" t="str">
        <f>INDEX('Brown-Universal mapping'!$B:$B,MATCH(Y119,'Brown-Universal mapping'!$A:$A,0))</f>
        <v>NOUN</v>
      </c>
      <c r="AC119" s="7">
        <f t="shared" si="17"/>
        <v>1</v>
      </c>
      <c r="AD119" s="7">
        <f t="shared" si="18"/>
        <v>1</v>
      </c>
      <c r="AF119" s="9" t="s">
        <v>12</v>
      </c>
      <c r="AG119" s="9" t="str">
        <f>INDEX('Brown tagset'!$B:$B,MATCH(IF(ISERROR(FIND("-",AF119)),IF(ISERROR(FIND("+",AF119)),AF119,LEFT(AF119,FIND("+",AF119)-1)),LEFT(AF119,FIND("-",AF119)-1)),'Brown tagset'!$A:$A,0))</f>
        <v>singular or mass noun</v>
      </c>
      <c r="AH119" s="9" t="s">
        <v>13</v>
      </c>
      <c r="AI119" s="9" t="str">
        <f>INDEX('Brown-Universal mapping'!$B:$B,MATCH(AF119,'Brown-Universal mapping'!$A:$A,0))</f>
        <v>NOUN</v>
      </c>
      <c r="AJ119" s="9">
        <f t="shared" si="15"/>
        <v>1</v>
      </c>
      <c r="AK119" s="9">
        <f t="shared" si="16"/>
        <v>1</v>
      </c>
      <c r="AM119" s="6">
        <f t="shared" si="19"/>
        <v>3</v>
      </c>
      <c r="AN119" s="6">
        <f t="shared" si="20"/>
        <v>3</v>
      </c>
      <c r="AP119" s="6" t="str">
        <f t="shared" si="21"/>
        <v>singular or mass noun3</v>
      </c>
    </row>
    <row r="120" spans="1:42" x14ac:dyDescent="0.25">
      <c r="A120" s="29" t="s">
        <v>14</v>
      </c>
      <c r="B120" s="29"/>
      <c r="D120" s="3" t="s">
        <v>15</v>
      </c>
      <c r="E120" s="3" t="str">
        <f>INDEX('Brown tagset'!$B:$B,MATCH(IF(ISERROR(FIND("-",D120)),IF(ISERROR(FIND("+",D120)),D120,LEFT(D120,FIND("+",D120)-1)),LEFT(D120,FIND("-",D120)-1)),'Brown tagset'!$A:$A,0))</f>
        <v>has</v>
      </c>
      <c r="F120" s="3"/>
      <c r="G120" s="3" t="str">
        <f>INDEX('Brown-Universal mapping'!$B:$B,MATCH(D120,'Brown-Universal mapping'!$A:$A,0))</f>
        <v>VERB</v>
      </c>
      <c r="I120" s="5" t="s">
        <v>15</v>
      </c>
      <c r="J120" s="5" t="str">
        <f>INDEX('Brown tagset'!$B:$B,MATCH(IF(ISERROR(FIND("-",I120)),IF(ISERROR(FIND("+",I120)),I120,LEFT(I120,FIND("+",I120)-1)),LEFT(I120,FIND("-",I120)-1)),'Brown tagset'!$A:$A,0))</f>
        <v>has</v>
      </c>
      <c r="K120" s="5" t="s">
        <v>2</v>
      </c>
      <c r="L120" s="5" t="str">
        <f>INDEX('Brown-Universal mapping'!$B:$B,MATCH(I120,'Brown-Universal mapping'!$A:$A,0))</f>
        <v>VERB</v>
      </c>
      <c r="M120" s="5">
        <f t="shared" si="11"/>
        <v>1</v>
      </c>
      <c r="N120" s="5">
        <f t="shared" si="12"/>
        <v>1</v>
      </c>
      <c r="P120" s="12" t="s">
        <v>14</v>
      </c>
      <c r="Q120" s="7" t="s">
        <v>290</v>
      </c>
      <c r="R120" s="7" t="str">
        <f>INDEX('Brown tagset'!$B:$B,MATCH(IF(ISERROR(FIND("-",Q120)),IF(ISERROR(FIND("+",Q120)),Q120,LEFT(Q120,FIND("+",Q120)-1)),LEFT(Q120,FIND("-",Q120)-1)),'Brown tagset'!$A:$A,0))</f>
        <v>has</v>
      </c>
      <c r="S120" s="7"/>
      <c r="T120" s="7" t="str">
        <f>INDEX('Brown-Universal mapping'!$B:$B,MATCH(Q120,'Brown-Universal mapping'!$A:$A,0))</f>
        <v>VERB</v>
      </c>
      <c r="U120" s="7">
        <f t="shared" si="13"/>
        <v>1</v>
      </c>
      <c r="V120" s="7">
        <f t="shared" si="14"/>
        <v>1</v>
      </c>
      <c r="X120" s="12" t="s">
        <v>14</v>
      </c>
      <c r="Y120" s="7" t="s">
        <v>290</v>
      </c>
      <c r="Z120" s="7" t="str">
        <f>INDEX('Brown tagset'!$B:$B,MATCH(IF(ISERROR(FIND("-",Y120)),IF(ISERROR(FIND("+",Y120)),Y120,LEFT(Y120,FIND("+",Y120)-1)),LEFT(Y120,FIND("-",Y120)-1)),'Brown tagset'!$A:$A,0))</f>
        <v>has</v>
      </c>
      <c r="AA120" s="7"/>
      <c r="AB120" s="7" t="str">
        <f>INDEX('Brown-Universal mapping'!$B:$B,MATCH(Y120,'Brown-Universal mapping'!$A:$A,0))</f>
        <v>VERB</v>
      </c>
      <c r="AC120" s="7">
        <f t="shared" si="17"/>
        <v>1</v>
      </c>
      <c r="AD120" s="7">
        <f t="shared" si="18"/>
        <v>1</v>
      </c>
      <c r="AF120" s="9" t="s">
        <v>15</v>
      </c>
      <c r="AG120" s="9" t="str">
        <f>INDEX('Brown tagset'!$B:$B,MATCH(IF(ISERROR(FIND("-",AF120)),IF(ISERROR(FIND("+",AF120)),AF120,LEFT(AF120,FIND("+",AF120)-1)),LEFT(AF120,FIND("-",AF120)-1)),'Brown tagset'!$A:$A,0))</f>
        <v>has</v>
      </c>
      <c r="AH120" s="9" t="s">
        <v>2</v>
      </c>
      <c r="AI120" s="9" t="str">
        <f>INDEX('Brown-Universal mapping'!$B:$B,MATCH(AF120,'Brown-Universal mapping'!$A:$A,0))</f>
        <v>VERB</v>
      </c>
      <c r="AJ120" s="9">
        <f t="shared" si="15"/>
        <v>1</v>
      </c>
      <c r="AK120" s="9">
        <f t="shared" si="16"/>
        <v>1</v>
      </c>
      <c r="AM120" s="6">
        <f t="shared" si="19"/>
        <v>3</v>
      </c>
      <c r="AN120" s="6">
        <f t="shared" si="20"/>
        <v>3</v>
      </c>
      <c r="AP120" s="6" t="str">
        <f t="shared" si="21"/>
        <v>has3</v>
      </c>
    </row>
    <row r="121" spans="1:42" x14ac:dyDescent="0.25">
      <c r="A121" s="29" t="s">
        <v>120</v>
      </c>
      <c r="B121" s="29"/>
      <c r="C121" s="4">
        <v>1</v>
      </c>
      <c r="D121" s="3" t="s">
        <v>4</v>
      </c>
      <c r="E121" s="3" t="str">
        <f>INDEX('Brown tagset'!$B:$B,MATCH(IF(ISERROR(FIND("-",D121)),IF(ISERROR(FIND("+",D121)),D121,LEFT(D121,FIND("+",D121)-1)),LEFT(D121,FIND("-",D121)-1)),'Brown tagset'!$A:$A,0))</f>
        <v>adverb</v>
      </c>
      <c r="F121" s="3"/>
      <c r="G121" s="3" t="str">
        <f>INDEX('Brown-Universal mapping'!$B:$B,MATCH(D121,'Brown-Universal mapping'!$A:$A,0))</f>
        <v>ADV</v>
      </c>
      <c r="I121" s="5" t="s">
        <v>4</v>
      </c>
      <c r="J121" s="5" t="str">
        <f>INDEX('Brown tagset'!$B:$B,MATCH(IF(ISERROR(FIND("-",I121)),IF(ISERROR(FIND("+",I121)),I121,LEFT(I121,FIND("+",I121)-1)),LEFT(I121,FIND("-",I121)-1)),'Brown tagset'!$A:$A,0))</f>
        <v>adverb</v>
      </c>
      <c r="K121" s="5" t="s">
        <v>5</v>
      </c>
      <c r="L121" s="5" t="str">
        <f>INDEX('Brown-Universal mapping'!$B:$B,MATCH(I121,'Brown-Universal mapping'!$A:$A,0))</f>
        <v>ADV</v>
      </c>
      <c r="M121" s="5">
        <f t="shared" si="11"/>
        <v>1</v>
      </c>
      <c r="N121" s="5">
        <f t="shared" si="12"/>
        <v>1</v>
      </c>
      <c r="P121" s="12" t="s">
        <v>120</v>
      </c>
      <c r="Q121" s="7" t="s">
        <v>288</v>
      </c>
      <c r="R121" s="7" t="str">
        <f>INDEX('Brown tagset'!$B:$B,MATCH(IF(ISERROR(FIND("-",Q121)),IF(ISERROR(FIND("+",Q121)),Q121,LEFT(Q121,FIND("+",Q121)-1)),LEFT(Q121,FIND("-",Q121)-1)),'Brown tagset'!$A:$A,0))</f>
        <v>adverb</v>
      </c>
      <c r="S121" s="7"/>
      <c r="T121" s="7" t="str">
        <f>INDEX('Brown-Universal mapping'!$B:$B,MATCH(Q121,'Brown-Universal mapping'!$A:$A,0))</f>
        <v>ADV</v>
      </c>
      <c r="U121" s="7">
        <f t="shared" si="13"/>
        <v>1</v>
      </c>
      <c r="V121" s="7">
        <f t="shared" si="14"/>
        <v>1</v>
      </c>
      <c r="X121" s="12" t="s">
        <v>120</v>
      </c>
      <c r="Y121" s="7" t="s">
        <v>288</v>
      </c>
      <c r="Z121" s="7" t="str">
        <f>INDEX('Brown tagset'!$B:$B,MATCH(IF(ISERROR(FIND("-",Y121)),IF(ISERROR(FIND("+",Y121)),Y121,LEFT(Y121,FIND("+",Y121)-1)),LEFT(Y121,FIND("-",Y121)-1)),'Brown tagset'!$A:$A,0))</f>
        <v>adverb</v>
      </c>
      <c r="AA121" s="7"/>
      <c r="AB121" s="7" t="str">
        <f>INDEX('Brown-Universal mapping'!$B:$B,MATCH(Y121,'Brown-Universal mapping'!$A:$A,0))</f>
        <v>ADV</v>
      </c>
      <c r="AC121" s="7">
        <f t="shared" si="17"/>
        <v>1</v>
      </c>
      <c r="AD121" s="7">
        <f t="shared" si="18"/>
        <v>1</v>
      </c>
      <c r="AF121" s="9" t="s">
        <v>4</v>
      </c>
      <c r="AG121" s="9" t="str">
        <f>INDEX('Brown tagset'!$B:$B,MATCH(IF(ISERROR(FIND("-",AF121)),IF(ISERROR(FIND("+",AF121)),AF121,LEFT(AF121,FIND("+",AF121)-1)),LEFT(AF121,FIND("-",AF121)-1)),'Brown tagset'!$A:$A,0))</f>
        <v>adverb</v>
      </c>
      <c r="AH121" s="9" t="s">
        <v>5</v>
      </c>
      <c r="AI121" s="9" t="str">
        <f>INDEX('Brown-Universal mapping'!$B:$B,MATCH(AF121,'Brown-Universal mapping'!$A:$A,0))</f>
        <v>ADV</v>
      </c>
      <c r="AJ121" s="9">
        <f t="shared" si="15"/>
        <v>1</v>
      </c>
      <c r="AK121" s="9">
        <f t="shared" si="16"/>
        <v>1</v>
      </c>
      <c r="AM121" s="6">
        <f t="shared" si="19"/>
        <v>3</v>
      </c>
      <c r="AN121" s="6">
        <f t="shared" si="20"/>
        <v>3</v>
      </c>
      <c r="AP121" s="6" t="str">
        <f t="shared" si="21"/>
        <v>adverb3</v>
      </c>
    </row>
    <row r="122" spans="1:42" x14ac:dyDescent="0.25">
      <c r="A122" s="29" t="s">
        <v>126</v>
      </c>
      <c r="B122" s="29"/>
      <c r="D122" s="3" t="s">
        <v>127</v>
      </c>
      <c r="E122" s="3" t="str">
        <f>INDEX('Brown tagset'!$B:$B,MATCH(IF(ISERROR(FIND("-",D122)),IF(ISERROR(FIND("+",D122)),D122,LEFT(D122,FIND("+",D122)-1)),LEFT(D122,FIND("-",D122)-1)),'Brown tagset'!$A:$A,0))</f>
        <v>verb, past participle</v>
      </c>
      <c r="F122" s="3"/>
      <c r="G122" s="3" t="str">
        <f>INDEX('Brown-Universal mapping'!$B:$B,MATCH(D122,'Brown-Universal mapping'!$A:$A,0))</f>
        <v>VERB</v>
      </c>
      <c r="I122" s="5" t="s">
        <v>127</v>
      </c>
      <c r="J122" s="5" t="str">
        <f>INDEX('Brown tagset'!$B:$B,MATCH(IF(ISERROR(FIND("-",I122)),IF(ISERROR(FIND("+",I122)),I122,LEFT(I122,FIND("+",I122)-1)),LEFT(I122,FIND("-",I122)-1)),'Brown tagset'!$A:$A,0))</f>
        <v>verb, past participle</v>
      </c>
      <c r="K122" s="5" t="s">
        <v>10</v>
      </c>
      <c r="L122" s="5" t="str">
        <f>INDEX('Brown-Universal mapping'!$B:$B,MATCH(I122,'Brown-Universal mapping'!$A:$A,0))</f>
        <v>VERB</v>
      </c>
      <c r="M122" s="5">
        <f t="shared" si="11"/>
        <v>1</v>
      </c>
      <c r="N122" s="5">
        <f t="shared" si="12"/>
        <v>1</v>
      </c>
      <c r="P122" s="12" t="s">
        <v>126</v>
      </c>
      <c r="Q122" s="7" t="s">
        <v>312</v>
      </c>
      <c r="R122" s="7" t="str">
        <f>INDEX('Brown tagset'!$B:$B,MATCH(IF(ISERROR(FIND("-",Q122)),IF(ISERROR(FIND("+",Q122)),Q122,LEFT(Q122,FIND("+",Q122)-1)),LEFT(Q122,FIND("-",Q122)-1)),'Brown tagset'!$A:$A,0))</f>
        <v>verb, past tense</v>
      </c>
      <c r="S122" s="7"/>
      <c r="T122" s="7" t="str">
        <f>INDEX('Brown-Universal mapping'!$B:$B,MATCH(Q122,'Brown-Universal mapping'!$A:$A,0))</f>
        <v>VERB</v>
      </c>
      <c r="U122" s="7">
        <f t="shared" si="13"/>
        <v>0</v>
      </c>
      <c r="V122" s="7">
        <f t="shared" si="14"/>
        <v>1</v>
      </c>
      <c r="X122" s="12" t="s">
        <v>126</v>
      </c>
      <c r="Y122" s="7" t="s">
        <v>328</v>
      </c>
      <c r="Z122" s="7" t="str">
        <f>INDEX('Brown tagset'!$B:$B,MATCH(IF(ISERROR(FIND("-",Y122)),IF(ISERROR(FIND("+",Y122)),Y122,LEFT(Y122,FIND("+",Y122)-1)),LEFT(Y122,FIND("-",Y122)-1)),'Brown tagset'!$A:$A,0))</f>
        <v>verb, past participle</v>
      </c>
      <c r="AA122" s="7"/>
      <c r="AB122" s="7" t="str">
        <f>INDEX('Brown-Universal mapping'!$B:$B,MATCH(Y122,'Brown-Universal mapping'!$A:$A,0))</f>
        <v>VERB</v>
      </c>
      <c r="AC122" s="7">
        <f t="shared" si="17"/>
        <v>1</v>
      </c>
      <c r="AD122" s="7">
        <f t="shared" si="18"/>
        <v>1</v>
      </c>
      <c r="AF122" s="9" t="s">
        <v>127</v>
      </c>
      <c r="AG122" s="9" t="str">
        <f>INDEX('Brown tagset'!$B:$B,MATCH(IF(ISERROR(FIND("-",AF122)),IF(ISERROR(FIND("+",AF122)),AF122,LEFT(AF122,FIND("+",AF122)-1)),LEFT(AF122,FIND("-",AF122)-1)),'Brown tagset'!$A:$A,0))</f>
        <v>verb, past participle</v>
      </c>
      <c r="AH122" s="9" t="s">
        <v>10</v>
      </c>
      <c r="AI122" s="9" t="str">
        <f>INDEX('Brown-Universal mapping'!$B:$B,MATCH(AF122,'Brown-Universal mapping'!$A:$A,0))</f>
        <v>VERB</v>
      </c>
      <c r="AJ122" s="9">
        <f t="shared" si="15"/>
        <v>1</v>
      </c>
      <c r="AK122" s="9">
        <f t="shared" si="16"/>
        <v>1</v>
      </c>
      <c r="AM122" s="6">
        <f t="shared" si="19"/>
        <v>3</v>
      </c>
      <c r="AN122" s="6">
        <f t="shared" si="20"/>
        <v>3</v>
      </c>
      <c r="AP122" s="6" t="str">
        <f t="shared" si="21"/>
        <v>verb, past participle3</v>
      </c>
    </row>
    <row r="123" spans="1:42" x14ac:dyDescent="0.25">
      <c r="A123" s="29" t="s">
        <v>128</v>
      </c>
      <c r="B123" s="29"/>
      <c r="D123" s="3" t="s">
        <v>129</v>
      </c>
      <c r="E123" s="3" t="str">
        <f>INDEX('Brown tagset'!$B:$B,MATCH(IF(ISERROR(FIND("-",D123)),IF(ISERROR(FIND("+",D123)),D123,LEFT(D123,FIND("+",D123)-1)),LEFT(D123,FIND("-",D123)-1)),'Brown tagset'!$A:$A,0))</f>
        <v>cardinal numeral (one, two, 2, etc.)</v>
      </c>
      <c r="F123" s="3"/>
      <c r="G123" s="3" t="str">
        <f>INDEX('Brown-Universal mapping'!$B:$B,MATCH(D123,'Brown-Universal mapping'!$A:$A,0))</f>
        <v>NUM</v>
      </c>
      <c r="I123" s="5" t="s">
        <v>129</v>
      </c>
      <c r="J123" s="5" t="str">
        <f>INDEX('Brown tagset'!$B:$B,MATCH(IF(ISERROR(FIND("-",I123)),IF(ISERROR(FIND("+",I123)),I123,LEFT(I123,FIND("+",I123)-1)),LEFT(I123,FIND("-",I123)-1)),'Brown tagset'!$A:$A,0))</f>
        <v>cardinal numeral (one, two, 2, etc.)</v>
      </c>
      <c r="K123" s="5" t="s">
        <v>130</v>
      </c>
      <c r="L123" s="5" t="str">
        <f>INDEX('Brown-Universal mapping'!$B:$B,MATCH(I123,'Brown-Universal mapping'!$A:$A,0))</f>
        <v>NUM</v>
      </c>
      <c r="M123" s="5">
        <f t="shared" si="11"/>
        <v>1</v>
      </c>
      <c r="N123" s="5">
        <f t="shared" si="12"/>
        <v>1</v>
      </c>
      <c r="P123" s="12" t="s">
        <v>128</v>
      </c>
      <c r="Q123" s="7" t="s">
        <v>305</v>
      </c>
      <c r="R123" s="7" t="str">
        <f>INDEX('Brown tagset'!$B:$B,MATCH(IF(ISERROR(FIND("-",Q123)),IF(ISERROR(FIND("+",Q123)),Q123,LEFT(Q123,FIND("+",Q123)-1)),LEFT(Q123,FIND("-",Q123)-1)),'Brown tagset'!$A:$A,0))</f>
        <v>cardinal numeral (one, two, 2, etc.)</v>
      </c>
      <c r="S123" s="7"/>
      <c r="T123" s="7" t="str">
        <f>INDEX('Brown-Universal mapping'!$B:$B,MATCH(Q123,'Brown-Universal mapping'!$A:$A,0))</f>
        <v>NUM</v>
      </c>
      <c r="U123" s="7">
        <f t="shared" si="13"/>
        <v>1</v>
      </c>
      <c r="V123" s="7">
        <f t="shared" si="14"/>
        <v>1</v>
      </c>
      <c r="X123" s="12" t="s">
        <v>128</v>
      </c>
      <c r="Y123" s="7" t="s">
        <v>305</v>
      </c>
      <c r="Z123" s="7" t="str">
        <f>INDEX('Brown tagset'!$B:$B,MATCH(IF(ISERROR(FIND("-",Y123)),IF(ISERROR(FIND("+",Y123)),Y123,LEFT(Y123,FIND("+",Y123)-1)),LEFT(Y123,FIND("-",Y123)-1)),'Brown tagset'!$A:$A,0))</f>
        <v>cardinal numeral (one, two, 2, etc.)</v>
      </c>
      <c r="AA123" s="7"/>
      <c r="AB123" s="7" t="str">
        <f>INDEX('Brown-Universal mapping'!$B:$B,MATCH(Y123,'Brown-Universal mapping'!$A:$A,0))</f>
        <v>NUM</v>
      </c>
      <c r="AC123" s="7">
        <f t="shared" si="17"/>
        <v>1</v>
      </c>
      <c r="AD123" s="7">
        <f t="shared" si="18"/>
        <v>1</v>
      </c>
      <c r="AF123" s="9" t="s">
        <v>129</v>
      </c>
      <c r="AG123" s="9" t="str">
        <f>INDEX('Brown tagset'!$B:$B,MATCH(IF(ISERROR(FIND("-",AF123)),IF(ISERROR(FIND("+",AF123)),AF123,LEFT(AF123,FIND("+",AF123)-1)),LEFT(AF123,FIND("-",AF123)-1)),'Brown tagset'!$A:$A,0))</f>
        <v>cardinal numeral (one, two, 2, etc.)</v>
      </c>
      <c r="AH123" s="9" t="s">
        <v>130</v>
      </c>
      <c r="AI123" s="9" t="str">
        <f>INDEX('Brown-Universal mapping'!$B:$B,MATCH(AF123,'Brown-Universal mapping'!$A:$A,0))</f>
        <v>NUM</v>
      </c>
      <c r="AJ123" s="9">
        <f t="shared" si="15"/>
        <v>1</v>
      </c>
      <c r="AK123" s="9">
        <f t="shared" si="16"/>
        <v>1</v>
      </c>
      <c r="AM123" s="6">
        <f t="shared" si="19"/>
        <v>3</v>
      </c>
      <c r="AN123" s="6">
        <f t="shared" si="20"/>
        <v>3</v>
      </c>
      <c r="AP123" s="6" t="str">
        <f t="shared" si="21"/>
        <v>cardinal numeral (one, two, 2, etc.)3</v>
      </c>
    </row>
    <row r="124" spans="1:42" x14ac:dyDescent="0.25">
      <c r="A124" s="25" t="s">
        <v>131</v>
      </c>
      <c r="B124" s="25"/>
      <c r="D124" s="3" t="s">
        <v>45</v>
      </c>
      <c r="E124" s="3" t="str">
        <f>INDEX('Brown tagset'!$B:$B,MATCH(IF(ISERROR(FIND("-",D124)),IF(ISERROR(FIND("+",D124)),D124,LEFT(D124,FIND("+",D124)-1)),LEFT(D124,FIND("-",D124)-1)),'Brown tagset'!$A:$A,0))</f>
        <v>adjective</v>
      </c>
      <c r="F124" s="3"/>
      <c r="G124" s="3" t="str">
        <f>INDEX('Brown-Universal mapping'!$B:$B,MATCH(D124,'Brown-Universal mapping'!$A:$A,0))</f>
        <v>ADJ</v>
      </c>
      <c r="I124" s="5" t="s">
        <v>45</v>
      </c>
      <c r="J124" s="5" t="str">
        <f>INDEX('Brown tagset'!$B:$B,MATCH(IF(ISERROR(FIND("-",I124)),IF(ISERROR(FIND("+",I124)),I124,LEFT(I124,FIND("+",I124)-1)),LEFT(I124,FIND("-",I124)-1)),'Brown tagset'!$A:$A,0))</f>
        <v>adjective</v>
      </c>
      <c r="K124" s="5" t="s">
        <v>46</v>
      </c>
      <c r="L124" s="5" t="str">
        <f>INDEX('Brown-Universal mapping'!$B:$B,MATCH(I124,'Brown-Universal mapping'!$A:$A,0))</f>
        <v>ADJ</v>
      </c>
      <c r="M124" s="5">
        <f t="shared" si="11"/>
        <v>1</v>
      </c>
      <c r="N124" s="5">
        <f t="shared" si="12"/>
        <v>1</v>
      </c>
      <c r="P124" s="12" t="s">
        <v>131</v>
      </c>
      <c r="Q124" s="7" t="s">
        <v>299</v>
      </c>
      <c r="R124" s="7" t="str">
        <f>INDEX('Brown tagset'!$B:$B,MATCH(IF(ISERROR(FIND("-",Q124)),IF(ISERROR(FIND("+",Q124)),Q124,LEFT(Q124,FIND("+",Q124)-1)),LEFT(Q124,FIND("-",Q124)-1)),'Brown tagset'!$A:$A,0))</f>
        <v>adjective</v>
      </c>
      <c r="S124" s="7"/>
      <c r="T124" s="7" t="str">
        <f>INDEX('Brown-Universal mapping'!$B:$B,MATCH(Q124,'Brown-Universal mapping'!$A:$A,0))</f>
        <v>ADJ</v>
      </c>
      <c r="U124" s="7">
        <f t="shared" si="13"/>
        <v>1</v>
      </c>
      <c r="V124" s="7">
        <f t="shared" si="14"/>
        <v>1</v>
      </c>
      <c r="X124" s="12" t="s">
        <v>131</v>
      </c>
      <c r="Y124" s="7" t="s">
        <v>299</v>
      </c>
      <c r="Z124" s="7" t="str">
        <f>INDEX('Brown tagset'!$B:$B,MATCH(IF(ISERROR(FIND("-",Y124)),IF(ISERROR(FIND("+",Y124)),Y124,LEFT(Y124,FIND("+",Y124)-1)),LEFT(Y124,FIND("-",Y124)-1)),'Brown tagset'!$A:$A,0))</f>
        <v>adjective</v>
      </c>
      <c r="AA124" s="7"/>
      <c r="AB124" s="7" t="str">
        <f>INDEX('Brown-Universal mapping'!$B:$B,MATCH(Y124,'Brown-Universal mapping'!$A:$A,0))</f>
        <v>ADJ</v>
      </c>
      <c r="AC124" s="7">
        <f t="shared" si="17"/>
        <v>1</v>
      </c>
      <c r="AD124" s="7">
        <f t="shared" si="18"/>
        <v>1</v>
      </c>
      <c r="AF124" s="9" t="s">
        <v>340</v>
      </c>
      <c r="AG124" s="9" t="str">
        <f>INDEX('Brown tagset'!$B:$B,MATCH(IF(ISERROR(FIND("-",AF124)),IF(ISERROR(FIND("+",AF124)),AF124,LEFT(AF124,FIND("+",AF124)-1)),LEFT(AF124,FIND("-",AF124)-1)),'Brown tagset'!$A:$A,0))</f>
        <v>unknown</v>
      </c>
      <c r="AH124" s="9" t="s">
        <v>2</v>
      </c>
      <c r="AI124" s="9" t="str">
        <f>INDEX('Brown-Universal mapping'!$B:$B,MATCH(AF124,'Brown-Universal mapping'!$A:$A,0))</f>
        <v>Unknown</v>
      </c>
      <c r="AJ124" s="9">
        <f t="shared" si="15"/>
        <v>0</v>
      </c>
      <c r="AK124" s="9">
        <f t="shared" si="16"/>
        <v>0</v>
      </c>
      <c r="AM124" s="6">
        <f t="shared" si="19"/>
        <v>2</v>
      </c>
      <c r="AN124" s="6">
        <f t="shared" si="20"/>
        <v>2</v>
      </c>
      <c r="AP124" s="6" t="str">
        <f t="shared" si="21"/>
        <v>unknown2</v>
      </c>
    </row>
    <row r="125" spans="1:42" x14ac:dyDescent="0.25">
      <c r="A125" s="29" t="s">
        <v>132</v>
      </c>
      <c r="B125" s="29"/>
      <c r="D125" s="3" t="s">
        <v>12</v>
      </c>
      <c r="E125" s="3" t="str">
        <f>INDEX('Brown tagset'!$B:$B,MATCH(IF(ISERROR(FIND("-",D125)),IF(ISERROR(FIND("+",D125)),D125,LEFT(D125,FIND("+",D125)-1)),LEFT(D125,FIND("-",D125)-1)),'Brown tagset'!$A:$A,0))</f>
        <v>singular or mass noun</v>
      </c>
      <c r="F125" s="3"/>
      <c r="G125" s="3" t="str">
        <f>INDEX('Brown-Universal mapping'!$B:$B,MATCH(D125,'Brown-Universal mapping'!$A:$A,0))</f>
        <v>NOUN</v>
      </c>
      <c r="I125" s="5" t="s">
        <v>12</v>
      </c>
      <c r="J125" s="5" t="str">
        <f>INDEX('Brown tagset'!$B:$B,MATCH(IF(ISERROR(FIND("-",I125)),IF(ISERROR(FIND("+",I125)),I125,LEFT(I125,FIND("+",I125)-1)),LEFT(I125,FIND("-",I125)-1)),'Brown tagset'!$A:$A,0))</f>
        <v>singular or mass noun</v>
      </c>
      <c r="K125" s="5" t="s">
        <v>13</v>
      </c>
      <c r="L125" s="5" t="str">
        <f>INDEX('Brown-Universal mapping'!$B:$B,MATCH(I125,'Brown-Universal mapping'!$A:$A,0))</f>
        <v>NOUN</v>
      </c>
      <c r="M125" s="5">
        <f t="shared" si="11"/>
        <v>1</v>
      </c>
      <c r="N125" s="5">
        <f t="shared" si="12"/>
        <v>1</v>
      </c>
      <c r="P125" s="12" t="s">
        <v>132</v>
      </c>
      <c r="Q125" s="7" t="s">
        <v>289</v>
      </c>
      <c r="R125" s="7" t="str">
        <f>INDEX('Brown tagset'!$B:$B,MATCH(IF(ISERROR(FIND("-",Q125)),IF(ISERROR(FIND("+",Q125)),Q125,LEFT(Q125,FIND("+",Q125)-1)),LEFT(Q125,FIND("-",Q125)-1)),'Brown tagset'!$A:$A,0))</f>
        <v>singular or mass noun</v>
      </c>
      <c r="S125" s="7"/>
      <c r="T125" s="7" t="str">
        <f>INDEX('Brown-Universal mapping'!$B:$B,MATCH(Q125,'Brown-Universal mapping'!$A:$A,0))</f>
        <v>NOUN</v>
      </c>
      <c r="U125" s="7">
        <f t="shared" si="13"/>
        <v>1</v>
      </c>
      <c r="V125" s="7">
        <f t="shared" si="14"/>
        <v>1</v>
      </c>
      <c r="X125" s="12" t="s">
        <v>132</v>
      </c>
      <c r="Y125" s="7" t="s">
        <v>289</v>
      </c>
      <c r="Z125" s="7" t="str">
        <f>INDEX('Brown tagset'!$B:$B,MATCH(IF(ISERROR(FIND("-",Y125)),IF(ISERROR(FIND("+",Y125)),Y125,LEFT(Y125,FIND("+",Y125)-1)),LEFT(Y125,FIND("-",Y125)-1)),'Brown tagset'!$A:$A,0))</f>
        <v>singular or mass noun</v>
      </c>
      <c r="AA125" s="7"/>
      <c r="AB125" s="7" t="str">
        <f>INDEX('Brown-Universal mapping'!$B:$B,MATCH(Y125,'Brown-Universal mapping'!$A:$A,0))</f>
        <v>NOUN</v>
      </c>
      <c r="AC125" s="7">
        <f t="shared" si="17"/>
        <v>1</v>
      </c>
      <c r="AD125" s="7">
        <f t="shared" si="18"/>
        <v>1</v>
      </c>
      <c r="AF125" s="9" t="s">
        <v>12</v>
      </c>
      <c r="AG125" s="9" t="str">
        <f>INDEX('Brown tagset'!$B:$B,MATCH(IF(ISERROR(FIND("-",AF125)),IF(ISERROR(FIND("+",AF125)),AF125,LEFT(AF125,FIND("+",AF125)-1)),LEFT(AF125,FIND("-",AF125)-1)),'Brown tagset'!$A:$A,0))</f>
        <v>singular or mass noun</v>
      </c>
      <c r="AH125" s="9" t="s">
        <v>13</v>
      </c>
      <c r="AI125" s="9" t="str">
        <f>INDEX('Brown-Universal mapping'!$B:$B,MATCH(AF125,'Brown-Universal mapping'!$A:$A,0))</f>
        <v>NOUN</v>
      </c>
      <c r="AJ125" s="9">
        <f t="shared" si="15"/>
        <v>1</v>
      </c>
      <c r="AK125" s="9">
        <f t="shared" si="16"/>
        <v>1</v>
      </c>
      <c r="AM125" s="6">
        <f t="shared" si="19"/>
        <v>3</v>
      </c>
      <c r="AN125" s="6">
        <f t="shared" si="20"/>
        <v>3</v>
      </c>
      <c r="AP125" s="6" t="str">
        <f t="shared" si="21"/>
        <v>singular or mass noun3</v>
      </c>
    </row>
    <row r="126" spans="1:42" x14ac:dyDescent="0.25">
      <c r="A126" s="29" t="s">
        <v>58</v>
      </c>
      <c r="B126" s="29"/>
      <c r="D126" s="3" t="s">
        <v>59</v>
      </c>
      <c r="E126" s="3" t="str">
        <f>INDEX('Brown tagset'!$B:$B,MATCH(IF(ISERROR(FIND("-",D126)),IF(ISERROR(FIND("+",D126)),D126,LEFT(D126,FIND("+",D126)-1)),LEFT(D126,FIND("-",D126)-1)),'Brown tagset'!$A:$A,0))</f>
        <v>preposition</v>
      </c>
      <c r="F126" s="3"/>
      <c r="G126" s="3" t="str">
        <f>INDEX('Brown-Universal mapping'!$B:$B,MATCH(D126,'Brown-Universal mapping'!$A:$A,0))</f>
        <v>ADP</v>
      </c>
      <c r="I126" s="5" t="s">
        <v>59</v>
      </c>
      <c r="J126" s="5" t="str">
        <f>INDEX('Brown tagset'!$B:$B,MATCH(IF(ISERROR(FIND("-",I126)),IF(ISERROR(FIND("+",I126)),I126,LEFT(I126,FIND("+",I126)-1)),LEFT(I126,FIND("-",I126)-1)),'Brown tagset'!$A:$A,0))</f>
        <v>preposition</v>
      </c>
      <c r="K126" s="5" t="s">
        <v>60</v>
      </c>
      <c r="L126" s="5" t="str">
        <f>INDEX('Brown-Universal mapping'!$B:$B,MATCH(I126,'Brown-Universal mapping'!$A:$A,0))</f>
        <v>ADP</v>
      </c>
      <c r="M126" s="5">
        <f t="shared" si="11"/>
        <v>1</v>
      </c>
      <c r="N126" s="5">
        <f t="shared" si="12"/>
        <v>1</v>
      </c>
      <c r="P126" s="12" t="s">
        <v>58</v>
      </c>
      <c r="Q126" s="7" t="s">
        <v>124</v>
      </c>
      <c r="R126" s="7" t="str">
        <f>INDEX('Brown tagset'!$B:$B,MATCH(IF(ISERROR(FIND("-",Q126)),IF(ISERROR(FIND("+",Q126)),Q126,LEFT(Q126,FIND("+",Q126)-1)),LEFT(Q126,FIND("-",Q126)-1)),'Brown tagset'!$A:$A,0))</f>
        <v>preposition</v>
      </c>
      <c r="S126" s="7"/>
      <c r="T126" s="7" t="str">
        <f>INDEX('Brown-Universal mapping'!$B:$B,MATCH(Q126,'Brown-Universal mapping'!$A:$A,0))</f>
        <v>ADP</v>
      </c>
      <c r="U126" s="7">
        <f t="shared" si="13"/>
        <v>1</v>
      </c>
      <c r="V126" s="7">
        <f t="shared" si="14"/>
        <v>1</v>
      </c>
      <c r="X126" s="12" t="s">
        <v>58</v>
      </c>
      <c r="Y126" s="7" t="s">
        <v>124</v>
      </c>
      <c r="Z126" s="7" t="str">
        <f>INDEX('Brown tagset'!$B:$B,MATCH(IF(ISERROR(FIND("-",Y126)),IF(ISERROR(FIND("+",Y126)),Y126,LEFT(Y126,FIND("+",Y126)-1)),LEFT(Y126,FIND("-",Y126)-1)),'Brown tagset'!$A:$A,0))</f>
        <v>preposition</v>
      </c>
      <c r="AA126" s="7"/>
      <c r="AB126" s="7" t="str">
        <f>INDEX('Brown-Universal mapping'!$B:$B,MATCH(Y126,'Brown-Universal mapping'!$A:$A,0))</f>
        <v>ADP</v>
      </c>
      <c r="AC126" s="7">
        <f t="shared" si="17"/>
        <v>1</v>
      </c>
      <c r="AD126" s="7">
        <f t="shared" si="18"/>
        <v>1</v>
      </c>
      <c r="AF126" s="9" t="s">
        <v>59</v>
      </c>
      <c r="AG126" s="9" t="str">
        <f>INDEX('Brown tagset'!$B:$B,MATCH(IF(ISERROR(FIND("-",AF126)),IF(ISERROR(FIND("+",AF126)),AF126,LEFT(AF126,FIND("+",AF126)-1)),LEFT(AF126,FIND("-",AF126)-1)),'Brown tagset'!$A:$A,0))</f>
        <v>preposition</v>
      </c>
      <c r="AH126" s="9" t="s">
        <v>60</v>
      </c>
      <c r="AI126" s="9" t="str">
        <f>INDEX('Brown-Universal mapping'!$B:$B,MATCH(AF126,'Brown-Universal mapping'!$A:$A,0))</f>
        <v>ADP</v>
      </c>
      <c r="AJ126" s="9">
        <f t="shared" si="15"/>
        <v>1</v>
      </c>
      <c r="AK126" s="9">
        <f t="shared" si="16"/>
        <v>1</v>
      </c>
      <c r="AM126" s="6">
        <f t="shared" si="19"/>
        <v>3</v>
      </c>
      <c r="AN126" s="6">
        <f t="shared" si="20"/>
        <v>3</v>
      </c>
      <c r="AP126" s="6" t="str">
        <f t="shared" si="21"/>
        <v>preposition3</v>
      </c>
    </row>
    <row r="127" spans="1:42" x14ac:dyDescent="0.25">
      <c r="A127" s="29" t="s">
        <v>21</v>
      </c>
      <c r="B127" s="29"/>
      <c r="D127" s="3" t="s">
        <v>22</v>
      </c>
      <c r="E127" s="3" t="str">
        <f>INDEX('Brown tagset'!$B:$B,MATCH(IF(ISERROR(FIND("-",D127)),IF(ISERROR(FIND("+",D127)),D127,LEFT(D127,FIND("+",D127)-1)),LEFT(D127,FIND("-",D127)-1)),'Brown tagset'!$A:$A,0))</f>
        <v>possessive personal pronoun (my, our)</v>
      </c>
      <c r="F127" s="3"/>
      <c r="G127" s="3" t="str">
        <f>INDEX('Brown-Universal mapping'!$B:$B,MATCH(D127,'Brown-Universal mapping'!$A:$A,0))</f>
        <v>DET</v>
      </c>
      <c r="I127" s="5" t="s">
        <v>22</v>
      </c>
      <c r="J127" s="5" t="str">
        <f>INDEX('Brown tagset'!$B:$B,MATCH(IF(ISERROR(FIND("-",I127)),IF(ISERROR(FIND("+",I127)),I127,LEFT(I127,FIND("+",I127)-1)),LEFT(I127,FIND("-",I127)-1)),'Brown tagset'!$A:$A,0))</f>
        <v>possessive personal pronoun (my, our)</v>
      </c>
      <c r="K127" s="5" t="s">
        <v>2</v>
      </c>
      <c r="L127" s="5" t="str">
        <f>INDEX('Brown-Universal mapping'!$B:$B,MATCH(I127,'Brown-Universal mapping'!$A:$A,0))</f>
        <v>DET</v>
      </c>
      <c r="M127" s="5">
        <f t="shared" si="11"/>
        <v>1</v>
      </c>
      <c r="N127" s="5">
        <f t="shared" si="12"/>
        <v>1</v>
      </c>
      <c r="P127" s="12" t="s">
        <v>21</v>
      </c>
      <c r="Q127" s="7" t="s">
        <v>291</v>
      </c>
      <c r="R127" s="7" t="str">
        <f>INDEX('Brown tagset'!$B:$B,MATCH(IF(ISERROR(FIND("-",Q127)),IF(ISERROR(FIND("+",Q127)),Q127,LEFT(Q127,FIND("+",Q127)-1)),LEFT(Q127,FIND("-",Q127)-1)),'Brown tagset'!$A:$A,0))</f>
        <v>possessive personal pronoun (my, our)</v>
      </c>
      <c r="S127" s="7"/>
      <c r="T127" s="7" t="str">
        <f>INDEX('Brown-Universal mapping'!$B:$B,MATCH(Q127,'Brown-Universal mapping'!$A:$A,0))</f>
        <v>DET</v>
      </c>
      <c r="U127" s="7">
        <f t="shared" si="13"/>
        <v>1</v>
      </c>
      <c r="V127" s="7">
        <f t="shared" si="14"/>
        <v>1</v>
      </c>
      <c r="X127" s="12" t="s">
        <v>21</v>
      </c>
      <c r="Y127" s="7" t="s">
        <v>291</v>
      </c>
      <c r="Z127" s="7" t="str">
        <f>INDEX('Brown tagset'!$B:$B,MATCH(IF(ISERROR(FIND("-",Y127)),IF(ISERROR(FIND("+",Y127)),Y127,LEFT(Y127,FIND("+",Y127)-1)),LEFT(Y127,FIND("-",Y127)-1)),'Brown tagset'!$A:$A,0))</f>
        <v>possessive personal pronoun (my, our)</v>
      </c>
      <c r="AA127" s="7"/>
      <c r="AB127" s="7" t="str">
        <f>INDEX('Brown-Universal mapping'!$B:$B,MATCH(Y127,'Brown-Universal mapping'!$A:$A,0))</f>
        <v>DET</v>
      </c>
      <c r="AC127" s="7">
        <f t="shared" si="17"/>
        <v>1</v>
      </c>
      <c r="AD127" s="7">
        <f t="shared" si="18"/>
        <v>1</v>
      </c>
      <c r="AF127" s="9" t="s">
        <v>22</v>
      </c>
      <c r="AG127" s="9" t="str">
        <f>INDEX('Brown tagset'!$B:$B,MATCH(IF(ISERROR(FIND("-",AF127)),IF(ISERROR(FIND("+",AF127)),AF127,LEFT(AF127,FIND("+",AF127)-1)),LEFT(AF127,FIND("-",AF127)-1)),'Brown tagset'!$A:$A,0))</f>
        <v>possessive personal pronoun (my, our)</v>
      </c>
      <c r="AH127" s="9" t="s">
        <v>2</v>
      </c>
      <c r="AI127" s="9" t="str">
        <f>INDEX('Brown-Universal mapping'!$B:$B,MATCH(AF127,'Brown-Universal mapping'!$A:$A,0))</f>
        <v>DET</v>
      </c>
      <c r="AJ127" s="9">
        <f t="shared" si="15"/>
        <v>1</v>
      </c>
      <c r="AK127" s="9">
        <f t="shared" si="16"/>
        <v>1</v>
      </c>
      <c r="AM127" s="6">
        <f t="shared" si="19"/>
        <v>3</v>
      </c>
      <c r="AN127" s="6">
        <f t="shared" si="20"/>
        <v>3</v>
      </c>
      <c r="AP127" s="6" t="str">
        <f t="shared" si="21"/>
        <v>possessive personal pronoun (my, our)3</v>
      </c>
    </row>
    <row r="128" spans="1:42" x14ac:dyDescent="0.25">
      <c r="A128" s="29" t="s">
        <v>30</v>
      </c>
      <c r="B128" s="29"/>
      <c r="D128" s="3" t="s">
        <v>31</v>
      </c>
      <c r="E128" s="3" t="str">
        <f>INDEX('Brown tagset'!$B:$B,MATCH(IF(ISERROR(FIND("-",D128)),IF(ISERROR(FIND("+",D128)),D128,LEFT(D128,FIND("+",D128)-1)),LEFT(D128,FIND("-",D128)-1)),'Brown tagset'!$A:$A,0))</f>
        <v>plural noun</v>
      </c>
      <c r="F128" s="3"/>
      <c r="G128" s="3" t="str">
        <f>INDEX('Brown-Universal mapping'!$B:$B,MATCH(D128,'Brown-Universal mapping'!$A:$A,0))</f>
        <v>NOUN</v>
      </c>
      <c r="I128" s="5" t="s">
        <v>31</v>
      </c>
      <c r="J128" s="5" t="str">
        <f>INDEX('Brown tagset'!$B:$B,MATCH(IF(ISERROR(FIND("-",I128)),IF(ISERROR(FIND("+",I128)),I128,LEFT(I128,FIND("+",I128)-1)),LEFT(I128,FIND("-",I128)-1)),'Brown tagset'!$A:$A,0))</f>
        <v>plural noun</v>
      </c>
      <c r="K128" s="5" t="s">
        <v>13</v>
      </c>
      <c r="L128" s="5" t="str">
        <f>INDEX('Brown-Universal mapping'!$B:$B,MATCH(I128,'Brown-Universal mapping'!$A:$A,0))</f>
        <v>NOUN</v>
      </c>
      <c r="M128" s="5">
        <f t="shared" si="11"/>
        <v>1</v>
      </c>
      <c r="N128" s="5">
        <f t="shared" si="12"/>
        <v>1</v>
      </c>
      <c r="P128" s="12" t="s">
        <v>30</v>
      </c>
      <c r="Q128" s="7" t="s">
        <v>295</v>
      </c>
      <c r="R128" s="7" t="str">
        <f>INDEX('Brown tagset'!$B:$B,MATCH(IF(ISERROR(FIND("-",Q128)),IF(ISERROR(FIND("+",Q128)),Q128,LEFT(Q128,FIND("+",Q128)-1)),LEFT(Q128,FIND("-",Q128)-1)),'Brown tagset'!$A:$A,0))</f>
        <v>plural noun</v>
      </c>
      <c r="S128" s="7"/>
      <c r="T128" s="7" t="str">
        <f>INDEX('Brown-Universal mapping'!$B:$B,MATCH(Q128,'Brown-Universal mapping'!$A:$A,0))</f>
        <v>NOUN</v>
      </c>
      <c r="U128" s="7">
        <f t="shared" si="13"/>
        <v>1</v>
      </c>
      <c r="V128" s="7">
        <f t="shared" si="14"/>
        <v>1</v>
      </c>
      <c r="X128" s="12" t="s">
        <v>30</v>
      </c>
      <c r="Y128" s="7" t="s">
        <v>295</v>
      </c>
      <c r="Z128" s="7" t="str">
        <f>INDEX('Brown tagset'!$B:$B,MATCH(IF(ISERROR(FIND("-",Y128)),IF(ISERROR(FIND("+",Y128)),Y128,LEFT(Y128,FIND("+",Y128)-1)),LEFT(Y128,FIND("-",Y128)-1)),'Brown tagset'!$A:$A,0))</f>
        <v>plural noun</v>
      </c>
      <c r="AA128" s="7"/>
      <c r="AB128" s="7" t="str">
        <f>INDEX('Brown-Universal mapping'!$B:$B,MATCH(Y128,'Brown-Universal mapping'!$A:$A,0))</f>
        <v>NOUN</v>
      </c>
      <c r="AC128" s="7">
        <f t="shared" si="17"/>
        <v>1</v>
      </c>
      <c r="AD128" s="7">
        <f t="shared" si="18"/>
        <v>1</v>
      </c>
      <c r="AF128" s="9" t="s">
        <v>31</v>
      </c>
      <c r="AG128" s="9" t="str">
        <f>INDEX('Brown tagset'!$B:$B,MATCH(IF(ISERROR(FIND("-",AF128)),IF(ISERROR(FIND("+",AF128)),AF128,LEFT(AF128,FIND("+",AF128)-1)),LEFT(AF128,FIND("-",AF128)-1)),'Brown tagset'!$A:$A,0))</f>
        <v>plural noun</v>
      </c>
      <c r="AH128" s="9" t="s">
        <v>13</v>
      </c>
      <c r="AI128" s="9" t="str">
        <f>INDEX('Brown-Universal mapping'!$B:$B,MATCH(AF128,'Brown-Universal mapping'!$A:$A,0))</f>
        <v>NOUN</v>
      </c>
      <c r="AJ128" s="9">
        <f t="shared" si="15"/>
        <v>1</v>
      </c>
      <c r="AK128" s="9">
        <f t="shared" si="16"/>
        <v>1</v>
      </c>
      <c r="AM128" s="6">
        <f t="shared" si="19"/>
        <v>3</v>
      </c>
      <c r="AN128" s="6">
        <f t="shared" si="20"/>
        <v>3</v>
      </c>
      <c r="AP128" s="6" t="str">
        <f t="shared" si="21"/>
        <v>plural noun3</v>
      </c>
    </row>
    <row r="129" spans="1:42" x14ac:dyDescent="0.25">
      <c r="A129" s="29" t="s">
        <v>133</v>
      </c>
      <c r="B129" s="29"/>
      <c r="D129" s="3" t="s">
        <v>26</v>
      </c>
      <c r="E129" s="3" t="str">
        <f>INDEX('Brown tagset'!$B:$B,MATCH(IF(ISERROR(FIND("-",D129)),IF(ISERROR(FIND("+",D129)),D129,LEFT(D129,FIND("+",D129)-1)),LEFT(D129,FIND("-",D129)-1)),'Brown tagset'!$A:$A,0))</f>
        <v>coordinating conjunction (and, or)</v>
      </c>
      <c r="F129" s="3"/>
      <c r="G129" s="3" t="str">
        <f>INDEX('Brown-Universal mapping'!$B:$B,MATCH(D129,'Brown-Universal mapping'!$A:$A,0))</f>
        <v>CONJ</v>
      </c>
      <c r="I129" s="5" t="s">
        <v>26</v>
      </c>
      <c r="J129" s="5" t="str">
        <f>INDEX('Brown tagset'!$B:$B,MATCH(IF(ISERROR(FIND("-",I129)),IF(ISERROR(FIND("+",I129)),I129,LEFT(I129,FIND("+",I129)-1)),LEFT(I129,FIND("-",I129)-1)),'Brown tagset'!$A:$A,0))</f>
        <v>coordinating conjunction (and, or)</v>
      </c>
      <c r="K129" s="5" t="s">
        <v>27</v>
      </c>
      <c r="L129" s="5" t="str">
        <f>INDEX('Brown-Universal mapping'!$B:$B,MATCH(I129,'Brown-Universal mapping'!$A:$A,0))</f>
        <v>CONJ</v>
      </c>
      <c r="M129" s="5">
        <f t="shared" si="11"/>
        <v>1</v>
      </c>
      <c r="N129" s="5">
        <f t="shared" si="12"/>
        <v>1</v>
      </c>
      <c r="P129" s="12" t="s">
        <v>133</v>
      </c>
      <c r="Q129" s="7" t="s">
        <v>293</v>
      </c>
      <c r="R129" s="7" t="str">
        <f>INDEX('Brown tagset'!$B:$B,MATCH(IF(ISERROR(FIND("-",Q129)),IF(ISERROR(FIND("+",Q129)),Q129,LEFT(Q129,FIND("+",Q129)-1)),LEFT(Q129,FIND("-",Q129)-1)),'Brown tagset'!$A:$A,0))</f>
        <v>coordinating conjunction (and, or)</v>
      </c>
      <c r="S129" s="7"/>
      <c r="T129" s="7" t="str">
        <f>INDEX('Brown-Universal mapping'!$B:$B,MATCH(Q129,'Brown-Universal mapping'!$A:$A,0))</f>
        <v>CONJ</v>
      </c>
      <c r="U129" s="7">
        <f t="shared" si="13"/>
        <v>1</v>
      </c>
      <c r="V129" s="7">
        <f t="shared" si="14"/>
        <v>1</v>
      </c>
      <c r="X129" s="12" t="s">
        <v>133</v>
      </c>
      <c r="Y129" s="7" t="s">
        <v>293</v>
      </c>
      <c r="Z129" s="7" t="str">
        <f>INDEX('Brown tagset'!$B:$B,MATCH(IF(ISERROR(FIND("-",Y129)),IF(ISERROR(FIND("+",Y129)),Y129,LEFT(Y129,FIND("+",Y129)-1)),LEFT(Y129,FIND("-",Y129)-1)),'Brown tagset'!$A:$A,0))</f>
        <v>coordinating conjunction (and, or)</v>
      </c>
      <c r="AA129" s="7"/>
      <c r="AB129" s="7" t="str">
        <f>INDEX('Brown-Universal mapping'!$B:$B,MATCH(Y129,'Brown-Universal mapping'!$A:$A,0))</f>
        <v>CONJ</v>
      </c>
      <c r="AC129" s="7">
        <f t="shared" si="17"/>
        <v>1</v>
      </c>
      <c r="AD129" s="7">
        <f t="shared" si="18"/>
        <v>1</v>
      </c>
      <c r="AF129" s="9" t="s">
        <v>26</v>
      </c>
      <c r="AG129" s="9" t="str">
        <f>INDEX('Brown tagset'!$B:$B,MATCH(IF(ISERROR(FIND("-",AF129)),IF(ISERROR(FIND("+",AF129)),AF129,LEFT(AF129,FIND("+",AF129)-1)),LEFT(AF129,FIND("-",AF129)-1)),'Brown tagset'!$A:$A,0))</f>
        <v>coordinating conjunction (and, or)</v>
      </c>
      <c r="AH129" s="9" t="s">
        <v>27</v>
      </c>
      <c r="AI129" s="9" t="str">
        <f>INDEX('Brown-Universal mapping'!$B:$B,MATCH(AF129,'Brown-Universal mapping'!$A:$A,0))</f>
        <v>CONJ</v>
      </c>
      <c r="AJ129" s="9">
        <f t="shared" si="15"/>
        <v>1</v>
      </c>
      <c r="AK129" s="9">
        <f t="shared" si="16"/>
        <v>1</v>
      </c>
      <c r="AM129" s="6">
        <f t="shared" si="19"/>
        <v>3</v>
      </c>
      <c r="AN129" s="6">
        <f t="shared" si="20"/>
        <v>3</v>
      </c>
      <c r="AP129" s="6" t="str">
        <f t="shared" si="21"/>
        <v>coordinating conjunction (and, or)3</v>
      </c>
    </row>
    <row r="130" spans="1:42" x14ac:dyDescent="0.25">
      <c r="A130" s="29" t="s">
        <v>120</v>
      </c>
      <c r="B130" s="29"/>
      <c r="C130" s="4">
        <v>1</v>
      </c>
      <c r="D130" s="3" t="s">
        <v>4</v>
      </c>
      <c r="E130" s="3" t="str">
        <f>INDEX('Brown tagset'!$B:$B,MATCH(IF(ISERROR(FIND("-",D130)),IF(ISERROR(FIND("+",D130)),D130,LEFT(D130,FIND("+",D130)-1)),LEFT(D130,FIND("-",D130)-1)),'Brown tagset'!$A:$A,0))</f>
        <v>adverb</v>
      </c>
      <c r="F130" s="3"/>
      <c r="G130" s="3" t="str">
        <f>INDEX('Brown-Universal mapping'!$B:$B,MATCH(D130,'Brown-Universal mapping'!$A:$A,0))</f>
        <v>ADV</v>
      </c>
      <c r="I130" s="5" t="s">
        <v>4</v>
      </c>
      <c r="J130" s="5" t="str">
        <f>INDEX('Brown tagset'!$B:$B,MATCH(IF(ISERROR(FIND("-",I130)),IF(ISERROR(FIND("+",I130)),I130,LEFT(I130,FIND("+",I130)-1)),LEFT(I130,FIND("-",I130)-1)),'Brown tagset'!$A:$A,0))</f>
        <v>adverb</v>
      </c>
      <c r="K130" s="5" t="s">
        <v>5</v>
      </c>
      <c r="L130" s="5" t="str">
        <f>INDEX('Brown-Universal mapping'!$B:$B,MATCH(I130,'Brown-Universal mapping'!$A:$A,0))</f>
        <v>ADV</v>
      </c>
      <c r="M130" s="5">
        <f t="shared" si="11"/>
        <v>1</v>
      </c>
      <c r="N130" s="5">
        <f t="shared" si="12"/>
        <v>1</v>
      </c>
      <c r="P130" s="12" t="s">
        <v>120</v>
      </c>
      <c r="Q130" s="7" t="s">
        <v>288</v>
      </c>
      <c r="R130" s="7" t="str">
        <f>INDEX('Brown tagset'!$B:$B,MATCH(IF(ISERROR(FIND("-",Q130)),IF(ISERROR(FIND("+",Q130)),Q130,LEFT(Q130,FIND("+",Q130)-1)),LEFT(Q130,FIND("-",Q130)-1)),'Brown tagset'!$A:$A,0))</f>
        <v>adverb</v>
      </c>
      <c r="S130" s="7"/>
      <c r="T130" s="7" t="str">
        <f>INDEX('Brown-Universal mapping'!$B:$B,MATCH(Q130,'Brown-Universal mapping'!$A:$A,0))</f>
        <v>ADV</v>
      </c>
      <c r="U130" s="7">
        <f t="shared" si="13"/>
        <v>1</v>
      </c>
      <c r="V130" s="7">
        <f t="shared" si="14"/>
        <v>1</v>
      </c>
      <c r="X130" s="12" t="s">
        <v>120</v>
      </c>
      <c r="Y130" s="7" t="s">
        <v>288</v>
      </c>
      <c r="Z130" s="7" t="str">
        <f>INDEX('Brown tagset'!$B:$B,MATCH(IF(ISERROR(FIND("-",Y130)),IF(ISERROR(FIND("+",Y130)),Y130,LEFT(Y130,FIND("+",Y130)-1)),LEFT(Y130,FIND("-",Y130)-1)),'Brown tagset'!$A:$A,0))</f>
        <v>adverb</v>
      </c>
      <c r="AA130" s="7"/>
      <c r="AB130" s="7" t="str">
        <f>INDEX('Brown-Universal mapping'!$B:$B,MATCH(Y130,'Brown-Universal mapping'!$A:$A,0))</f>
        <v>ADV</v>
      </c>
      <c r="AC130" s="7">
        <f t="shared" si="17"/>
        <v>1</v>
      </c>
      <c r="AD130" s="7">
        <f t="shared" si="18"/>
        <v>1</v>
      </c>
      <c r="AF130" s="9" t="s">
        <v>4</v>
      </c>
      <c r="AG130" s="9" t="str">
        <f>INDEX('Brown tagset'!$B:$B,MATCH(IF(ISERROR(FIND("-",AF130)),IF(ISERROR(FIND("+",AF130)),AF130,LEFT(AF130,FIND("+",AF130)-1)),LEFT(AF130,FIND("-",AF130)-1)),'Brown tagset'!$A:$A,0))</f>
        <v>adverb</v>
      </c>
      <c r="AH130" s="9" t="s">
        <v>5</v>
      </c>
      <c r="AI130" s="9" t="str">
        <f>INDEX('Brown-Universal mapping'!$B:$B,MATCH(AF130,'Brown-Universal mapping'!$A:$A,0))</f>
        <v>ADV</v>
      </c>
      <c r="AJ130" s="9">
        <f t="shared" si="15"/>
        <v>1</v>
      </c>
      <c r="AK130" s="9">
        <f t="shared" si="16"/>
        <v>1</v>
      </c>
      <c r="AM130" s="6">
        <f t="shared" si="19"/>
        <v>3</v>
      </c>
      <c r="AN130" s="6">
        <f t="shared" si="20"/>
        <v>3</v>
      </c>
      <c r="AP130" s="6" t="str">
        <f t="shared" si="21"/>
        <v>adverb3</v>
      </c>
    </row>
    <row r="131" spans="1:42" x14ac:dyDescent="0.25">
      <c r="A131" s="29" t="s">
        <v>14</v>
      </c>
      <c r="B131" s="29"/>
      <c r="D131" s="3" t="s">
        <v>15</v>
      </c>
      <c r="E131" s="3" t="str">
        <f>INDEX('Brown tagset'!$B:$B,MATCH(IF(ISERROR(FIND("-",D131)),IF(ISERROR(FIND("+",D131)),D131,LEFT(D131,FIND("+",D131)-1)),LEFT(D131,FIND("-",D131)-1)),'Brown tagset'!$A:$A,0))</f>
        <v>has</v>
      </c>
      <c r="F131" s="3"/>
      <c r="G131" s="3" t="str">
        <f>INDEX('Brown-Universal mapping'!$B:$B,MATCH(D131,'Brown-Universal mapping'!$A:$A,0))</f>
        <v>VERB</v>
      </c>
      <c r="I131" s="5" t="s">
        <v>15</v>
      </c>
      <c r="J131" s="5" t="str">
        <f>INDEX('Brown tagset'!$B:$B,MATCH(IF(ISERROR(FIND("-",I131)),IF(ISERROR(FIND("+",I131)),I131,LEFT(I131,FIND("+",I131)-1)),LEFT(I131,FIND("-",I131)-1)),'Brown tagset'!$A:$A,0))</f>
        <v>has</v>
      </c>
      <c r="K131" s="5" t="s">
        <v>2</v>
      </c>
      <c r="L131" s="5" t="str">
        <f>INDEX('Brown-Universal mapping'!$B:$B,MATCH(I131,'Brown-Universal mapping'!$A:$A,0))</f>
        <v>VERB</v>
      </c>
      <c r="M131" s="5">
        <f t="shared" si="11"/>
        <v>1</v>
      </c>
      <c r="N131" s="5">
        <f t="shared" si="12"/>
        <v>1</v>
      </c>
      <c r="P131" s="12" t="s">
        <v>14</v>
      </c>
      <c r="Q131" s="7" t="s">
        <v>290</v>
      </c>
      <c r="R131" s="7" t="str">
        <f>INDEX('Brown tagset'!$B:$B,MATCH(IF(ISERROR(FIND("-",Q131)),IF(ISERROR(FIND("+",Q131)),Q131,LEFT(Q131,FIND("+",Q131)-1)),LEFT(Q131,FIND("-",Q131)-1)),'Brown tagset'!$A:$A,0))</f>
        <v>has</v>
      </c>
      <c r="S131" s="7"/>
      <c r="T131" s="7" t="str">
        <f>INDEX('Brown-Universal mapping'!$B:$B,MATCH(Q131,'Brown-Universal mapping'!$A:$A,0))</f>
        <v>VERB</v>
      </c>
      <c r="U131" s="7">
        <f t="shared" si="13"/>
        <v>1</v>
      </c>
      <c r="V131" s="7">
        <f t="shared" si="14"/>
        <v>1</v>
      </c>
      <c r="X131" s="12" t="s">
        <v>14</v>
      </c>
      <c r="Y131" s="7" t="s">
        <v>290</v>
      </c>
      <c r="Z131" s="7" t="str">
        <f>INDEX('Brown tagset'!$B:$B,MATCH(IF(ISERROR(FIND("-",Y131)),IF(ISERROR(FIND("+",Y131)),Y131,LEFT(Y131,FIND("+",Y131)-1)),LEFT(Y131,FIND("-",Y131)-1)),'Brown tagset'!$A:$A,0))</f>
        <v>has</v>
      </c>
      <c r="AA131" s="7"/>
      <c r="AB131" s="7" t="str">
        <f>INDEX('Brown-Universal mapping'!$B:$B,MATCH(Y131,'Brown-Universal mapping'!$A:$A,0))</f>
        <v>VERB</v>
      </c>
      <c r="AC131" s="7">
        <f t="shared" si="17"/>
        <v>1</v>
      </c>
      <c r="AD131" s="7">
        <f t="shared" si="18"/>
        <v>1</v>
      </c>
      <c r="AF131" s="9" t="s">
        <v>15</v>
      </c>
      <c r="AG131" s="9" t="str">
        <f>INDEX('Brown tagset'!$B:$B,MATCH(IF(ISERROR(FIND("-",AF131)),IF(ISERROR(FIND("+",AF131)),AF131,LEFT(AF131,FIND("+",AF131)-1)),LEFT(AF131,FIND("-",AF131)-1)),'Brown tagset'!$A:$A,0))</f>
        <v>has</v>
      </c>
      <c r="AH131" s="9" t="s">
        <v>2</v>
      </c>
      <c r="AI131" s="9" t="str">
        <f>INDEX('Brown-Universal mapping'!$B:$B,MATCH(AF131,'Brown-Universal mapping'!$A:$A,0))</f>
        <v>VERB</v>
      </c>
      <c r="AJ131" s="9">
        <f t="shared" si="15"/>
        <v>1</v>
      </c>
      <c r="AK131" s="9">
        <f t="shared" si="16"/>
        <v>1</v>
      </c>
      <c r="AM131" s="6">
        <f t="shared" si="19"/>
        <v>3</v>
      </c>
      <c r="AN131" s="6">
        <f t="shared" si="20"/>
        <v>3</v>
      </c>
      <c r="AP131" s="6" t="str">
        <f t="shared" si="21"/>
        <v>has3</v>
      </c>
    </row>
    <row r="132" spans="1:42" x14ac:dyDescent="0.25">
      <c r="A132" s="29" t="s">
        <v>134</v>
      </c>
      <c r="B132" s="29"/>
      <c r="D132" s="3" t="s">
        <v>135</v>
      </c>
      <c r="E132" s="3" t="str">
        <f>INDEX('Brown tagset'!$B:$B,MATCH(IF(ISERROR(FIND("-",D132)),IF(ISERROR(FIND("+",D132)),D132,LEFT(D132,FIND("+",D132)-1)),LEFT(D132,FIND("-",D132)-1)),'Brown tagset'!$A:$A,0))</f>
        <v>been</v>
      </c>
      <c r="F132" s="3"/>
      <c r="G132" s="3" t="str">
        <f>INDEX('Brown-Universal mapping'!$B:$B,MATCH(D132,'Brown-Universal mapping'!$A:$A,0))</f>
        <v>VERB</v>
      </c>
      <c r="I132" s="5" t="s">
        <v>135</v>
      </c>
      <c r="J132" s="5" t="str">
        <f>INDEX('Brown tagset'!$B:$B,MATCH(IF(ISERROR(FIND("-",I132)),IF(ISERROR(FIND("+",I132)),I132,LEFT(I132,FIND("+",I132)-1)),LEFT(I132,FIND("-",I132)-1)),'Brown tagset'!$A:$A,0))</f>
        <v>been</v>
      </c>
      <c r="K132" s="5" t="s">
        <v>2</v>
      </c>
      <c r="L132" s="5" t="str">
        <f>INDEX('Brown-Universal mapping'!$B:$B,MATCH(I132,'Brown-Universal mapping'!$A:$A,0))</f>
        <v>VERB</v>
      </c>
      <c r="M132" s="5">
        <f t="shared" si="11"/>
        <v>1</v>
      </c>
      <c r="N132" s="5">
        <f t="shared" si="12"/>
        <v>1</v>
      </c>
      <c r="P132" s="12" t="s">
        <v>134</v>
      </c>
      <c r="Q132" s="7" t="s">
        <v>319</v>
      </c>
      <c r="R132" s="7" t="str">
        <f>INDEX('Brown tagset'!$B:$B,MATCH(IF(ISERROR(FIND("-",Q132)),IF(ISERROR(FIND("+",Q132)),Q132,LEFT(Q132,FIND("+",Q132)-1)),LEFT(Q132,FIND("-",Q132)-1)),'Brown tagset'!$A:$A,0))</f>
        <v>been</v>
      </c>
      <c r="S132" s="7"/>
      <c r="T132" s="7" t="str">
        <f>INDEX('Brown-Universal mapping'!$B:$B,MATCH(Q132,'Brown-Universal mapping'!$A:$A,0))</f>
        <v>VERB</v>
      </c>
      <c r="U132" s="7">
        <f t="shared" si="13"/>
        <v>1</v>
      </c>
      <c r="V132" s="7">
        <f t="shared" si="14"/>
        <v>1</v>
      </c>
      <c r="X132" s="12" t="s">
        <v>134</v>
      </c>
      <c r="Y132" s="7" t="s">
        <v>319</v>
      </c>
      <c r="Z132" s="7" t="str">
        <f>INDEX('Brown tagset'!$B:$B,MATCH(IF(ISERROR(FIND("-",Y132)),IF(ISERROR(FIND("+",Y132)),Y132,LEFT(Y132,FIND("+",Y132)-1)),LEFT(Y132,FIND("-",Y132)-1)),'Brown tagset'!$A:$A,0))</f>
        <v>been</v>
      </c>
      <c r="AA132" s="7"/>
      <c r="AB132" s="7" t="str">
        <f>INDEX('Brown-Universal mapping'!$B:$B,MATCH(Y132,'Brown-Universal mapping'!$A:$A,0))</f>
        <v>VERB</v>
      </c>
      <c r="AC132" s="7">
        <f t="shared" si="17"/>
        <v>1</v>
      </c>
      <c r="AD132" s="7">
        <f t="shared" si="18"/>
        <v>1</v>
      </c>
      <c r="AF132" s="9" t="s">
        <v>135</v>
      </c>
      <c r="AG132" s="9" t="str">
        <f>INDEX('Brown tagset'!$B:$B,MATCH(IF(ISERROR(FIND("-",AF132)),IF(ISERROR(FIND("+",AF132)),AF132,LEFT(AF132,FIND("+",AF132)-1)),LEFT(AF132,FIND("-",AF132)-1)),'Brown tagset'!$A:$A,0))</f>
        <v>been</v>
      </c>
      <c r="AH132" s="9" t="s">
        <v>2</v>
      </c>
      <c r="AI132" s="9" t="str">
        <f>INDEX('Brown-Universal mapping'!$B:$B,MATCH(AF132,'Brown-Universal mapping'!$A:$A,0))</f>
        <v>VERB</v>
      </c>
      <c r="AJ132" s="9">
        <f t="shared" si="15"/>
        <v>1</v>
      </c>
      <c r="AK132" s="9">
        <f t="shared" si="16"/>
        <v>1</v>
      </c>
      <c r="AM132" s="6">
        <f t="shared" si="19"/>
        <v>3</v>
      </c>
      <c r="AN132" s="6">
        <f t="shared" si="20"/>
        <v>3</v>
      </c>
      <c r="AP132" s="6" t="str">
        <f t="shared" si="21"/>
        <v>been3</v>
      </c>
    </row>
    <row r="133" spans="1:42" x14ac:dyDescent="0.25">
      <c r="A133" s="4" t="s">
        <v>136</v>
      </c>
      <c r="D133" s="3" t="s">
        <v>127</v>
      </c>
      <c r="E133" s="3" t="str">
        <f>INDEX('Brown tagset'!$B:$B,MATCH(IF(ISERROR(FIND("-",D133)),IF(ISERROR(FIND("+",D133)),D133,LEFT(D133,FIND("+",D133)-1)),LEFT(D133,FIND("-",D133)-1)),'Brown tagset'!$A:$A,0))</f>
        <v>verb, past participle</v>
      </c>
      <c r="F133" s="3"/>
      <c r="G133" s="3" t="str">
        <f>INDEX('Brown-Universal mapping'!$B:$B,MATCH(D133,'Brown-Universal mapping'!$A:$A,0))</f>
        <v>VERB</v>
      </c>
      <c r="I133" s="5" t="s">
        <v>127</v>
      </c>
      <c r="J133" s="5" t="str">
        <f>INDEX('Brown tagset'!$B:$B,MATCH(IF(ISERROR(FIND("-",I133)),IF(ISERROR(FIND("+",I133)),I133,LEFT(I133,FIND("+",I133)-1)),LEFT(I133,FIND("-",I133)-1)),'Brown tagset'!$A:$A,0))</f>
        <v>verb, past participle</v>
      </c>
      <c r="K133" s="5" t="s">
        <v>10</v>
      </c>
      <c r="L133" s="5" t="str">
        <f>INDEX('Brown-Universal mapping'!$B:$B,MATCH(I133,'Brown-Universal mapping'!$A:$A,0))</f>
        <v>VERB</v>
      </c>
      <c r="M133" s="5">
        <f t="shared" si="11"/>
        <v>1</v>
      </c>
      <c r="N133" s="5">
        <f t="shared" si="12"/>
        <v>1</v>
      </c>
      <c r="P133" s="12" t="s">
        <v>136</v>
      </c>
      <c r="Q133" s="7" t="s">
        <v>312</v>
      </c>
      <c r="R133" s="7" t="str">
        <f>INDEX('Brown tagset'!$B:$B,MATCH(IF(ISERROR(FIND("-",Q133)),IF(ISERROR(FIND("+",Q133)),Q133,LEFT(Q133,FIND("+",Q133)-1)),LEFT(Q133,FIND("-",Q133)-1)),'Brown tagset'!$A:$A,0))</f>
        <v>verb, past tense</v>
      </c>
      <c r="S133" s="7"/>
      <c r="T133" s="7" t="str">
        <f>INDEX('Brown-Universal mapping'!$B:$B,MATCH(Q133,'Brown-Universal mapping'!$A:$A,0))</f>
        <v>VERB</v>
      </c>
      <c r="U133" s="7">
        <f t="shared" si="13"/>
        <v>0</v>
      </c>
      <c r="V133" s="7">
        <f t="shared" si="14"/>
        <v>1</v>
      </c>
      <c r="X133" s="12" t="s">
        <v>136</v>
      </c>
      <c r="Y133" s="7" t="s">
        <v>312</v>
      </c>
      <c r="Z133" s="7" t="str">
        <f>INDEX('Brown tagset'!$B:$B,MATCH(IF(ISERROR(FIND("-",Y133)),IF(ISERROR(FIND("+",Y133)),Y133,LEFT(Y133,FIND("+",Y133)-1)),LEFT(Y133,FIND("-",Y133)-1)),'Brown tagset'!$A:$A,0))</f>
        <v>verb, past tense</v>
      </c>
      <c r="AA133" s="7"/>
      <c r="AB133" s="7" t="str">
        <f>INDEX('Brown-Universal mapping'!$B:$B,MATCH(Y133,'Brown-Universal mapping'!$A:$A,0))</f>
        <v>VERB</v>
      </c>
      <c r="AC133" s="7">
        <f t="shared" si="17"/>
        <v>0</v>
      </c>
      <c r="AD133" s="7">
        <f t="shared" si="18"/>
        <v>1</v>
      </c>
      <c r="AF133" s="9" t="s">
        <v>174</v>
      </c>
      <c r="AG133" s="9" t="str">
        <f>INDEX('Brown tagset'!$B:$B,MATCH(IF(ISERROR(FIND("-",AF133)),IF(ISERROR(FIND("+",AF133)),AF133,LEFT(AF133,FIND("+",AF133)-1)),LEFT(AF133,FIND("-",AF133)-1)),'Brown tagset'!$A:$A,0))</f>
        <v>verb, past tense</v>
      </c>
      <c r="AH133" s="9" t="s">
        <v>10</v>
      </c>
      <c r="AI133" s="9" t="str">
        <f>INDEX('Brown-Universal mapping'!$B:$B,MATCH(AF133,'Brown-Universal mapping'!$A:$A,0))</f>
        <v>VERB</v>
      </c>
      <c r="AJ133" s="9">
        <f t="shared" si="15"/>
        <v>0</v>
      </c>
      <c r="AK133" s="9">
        <f t="shared" si="16"/>
        <v>1</v>
      </c>
      <c r="AM133" s="6">
        <f t="shared" si="19"/>
        <v>1</v>
      </c>
      <c r="AN133" s="6">
        <f t="shared" si="20"/>
        <v>3</v>
      </c>
      <c r="AP133" s="6" t="str">
        <f t="shared" si="21"/>
        <v>verb, past tense1</v>
      </c>
    </row>
    <row r="134" spans="1:42" x14ac:dyDescent="0.25">
      <c r="A134" s="29" t="s">
        <v>137</v>
      </c>
      <c r="B134" s="29"/>
      <c r="D134" s="3" t="s">
        <v>59</v>
      </c>
      <c r="E134" s="3" t="str">
        <f>INDEX('Brown tagset'!$B:$B,MATCH(IF(ISERROR(FIND("-",D134)),IF(ISERROR(FIND("+",D134)),D134,LEFT(D134,FIND("+",D134)-1)),LEFT(D134,FIND("-",D134)-1)),'Brown tagset'!$A:$A,0))</f>
        <v>preposition</v>
      </c>
      <c r="F134" s="3"/>
      <c r="G134" s="3" t="str">
        <f>INDEX('Brown-Universal mapping'!$B:$B,MATCH(D134,'Brown-Universal mapping'!$A:$A,0))</f>
        <v>ADP</v>
      </c>
      <c r="I134" s="5" t="s">
        <v>59</v>
      </c>
      <c r="J134" s="5" t="str">
        <f>INDEX('Brown tagset'!$B:$B,MATCH(IF(ISERROR(FIND("-",I134)),IF(ISERROR(FIND("+",I134)),I134,LEFT(I134,FIND("+",I134)-1)),LEFT(I134,FIND("-",I134)-1)),'Brown tagset'!$A:$A,0))</f>
        <v>preposition</v>
      </c>
      <c r="K134" s="5" t="s">
        <v>60</v>
      </c>
      <c r="L134" s="5" t="str">
        <f>INDEX('Brown-Universal mapping'!$B:$B,MATCH(I134,'Brown-Universal mapping'!$A:$A,0))</f>
        <v>ADP</v>
      </c>
      <c r="M134" s="5">
        <f t="shared" si="11"/>
        <v>1</v>
      </c>
      <c r="N134" s="5">
        <f t="shared" si="12"/>
        <v>1</v>
      </c>
      <c r="P134" s="12" t="s">
        <v>137</v>
      </c>
      <c r="Q134" s="7" t="s">
        <v>124</v>
      </c>
      <c r="R134" s="7" t="str">
        <f>INDEX('Brown tagset'!$B:$B,MATCH(IF(ISERROR(FIND("-",Q134)),IF(ISERROR(FIND("+",Q134)),Q134,LEFT(Q134,FIND("+",Q134)-1)),LEFT(Q134,FIND("-",Q134)-1)),'Brown tagset'!$A:$A,0))</f>
        <v>preposition</v>
      </c>
      <c r="S134" s="7"/>
      <c r="T134" s="7" t="str">
        <f>INDEX('Brown-Universal mapping'!$B:$B,MATCH(Q134,'Brown-Universal mapping'!$A:$A,0))</f>
        <v>ADP</v>
      </c>
      <c r="U134" s="7">
        <f t="shared" si="13"/>
        <v>1</v>
      </c>
      <c r="V134" s="7">
        <f t="shared" si="14"/>
        <v>1</v>
      </c>
      <c r="X134" s="12" t="s">
        <v>137</v>
      </c>
      <c r="Y134" s="7" t="s">
        <v>124</v>
      </c>
      <c r="Z134" s="7" t="str">
        <f>INDEX('Brown tagset'!$B:$B,MATCH(IF(ISERROR(FIND("-",Y134)),IF(ISERROR(FIND("+",Y134)),Y134,LEFT(Y134,FIND("+",Y134)-1)),LEFT(Y134,FIND("-",Y134)-1)),'Brown tagset'!$A:$A,0))</f>
        <v>preposition</v>
      </c>
      <c r="AA134" s="7"/>
      <c r="AB134" s="7" t="str">
        <f>INDEX('Brown-Universal mapping'!$B:$B,MATCH(Y134,'Brown-Universal mapping'!$A:$A,0))</f>
        <v>ADP</v>
      </c>
      <c r="AC134" s="7">
        <f t="shared" si="17"/>
        <v>1</v>
      </c>
      <c r="AD134" s="7">
        <f t="shared" si="18"/>
        <v>1</v>
      </c>
      <c r="AF134" s="9" t="s">
        <v>59</v>
      </c>
      <c r="AG134" s="9" t="str">
        <f>INDEX('Brown tagset'!$B:$B,MATCH(IF(ISERROR(FIND("-",AF134)),IF(ISERROR(FIND("+",AF134)),AF134,LEFT(AF134,FIND("+",AF134)-1)),LEFT(AF134,FIND("-",AF134)-1)),'Brown tagset'!$A:$A,0))</f>
        <v>preposition</v>
      </c>
      <c r="AH134" s="9" t="s">
        <v>60</v>
      </c>
      <c r="AI134" s="9" t="str">
        <f>INDEX('Brown-Universal mapping'!$B:$B,MATCH(AF134,'Brown-Universal mapping'!$A:$A,0))</f>
        <v>ADP</v>
      </c>
      <c r="AJ134" s="9">
        <f t="shared" si="15"/>
        <v>1</v>
      </c>
      <c r="AK134" s="9">
        <f t="shared" si="16"/>
        <v>1</v>
      </c>
      <c r="AM134" s="6">
        <f t="shared" si="19"/>
        <v>3</v>
      </c>
      <c r="AN134" s="6">
        <f t="shared" si="20"/>
        <v>3</v>
      </c>
      <c r="AP134" s="6" t="str">
        <f t="shared" si="21"/>
        <v>preposition3</v>
      </c>
    </row>
    <row r="135" spans="1:42" x14ac:dyDescent="0.25">
      <c r="A135" s="29" t="s">
        <v>21</v>
      </c>
      <c r="B135" s="29"/>
      <c r="D135" s="3" t="s">
        <v>22</v>
      </c>
      <c r="E135" s="3" t="str">
        <f>INDEX('Brown tagset'!$B:$B,MATCH(IF(ISERROR(FIND("-",D135)),IF(ISERROR(FIND("+",D135)),D135,LEFT(D135,FIND("+",D135)-1)),LEFT(D135,FIND("-",D135)-1)),'Brown tagset'!$A:$A,0))</f>
        <v>possessive personal pronoun (my, our)</v>
      </c>
      <c r="F135" s="3"/>
      <c r="G135" s="3" t="str">
        <f>INDEX('Brown-Universal mapping'!$B:$B,MATCH(D135,'Brown-Universal mapping'!$A:$A,0))</f>
        <v>DET</v>
      </c>
      <c r="I135" s="5" t="s">
        <v>22</v>
      </c>
      <c r="J135" s="5" t="str">
        <f>INDEX('Brown tagset'!$B:$B,MATCH(IF(ISERROR(FIND("-",I135)),IF(ISERROR(FIND("+",I135)),I135,LEFT(I135,FIND("+",I135)-1)),LEFT(I135,FIND("-",I135)-1)),'Brown tagset'!$A:$A,0))</f>
        <v>possessive personal pronoun (my, our)</v>
      </c>
      <c r="K135" s="5" t="s">
        <v>2</v>
      </c>
      <c r="L135" s="5" t="str">
        <f>INDEX('Brown-Universal mapping'!$B:$B,MATCH(I135,'Brown-Universal mapping'!$A:$A,0))</f>
        <v>DET</v>
      </c>
      <c r="M135" s="5">
        <f t="shared" si="11"/>
        <v>1</v>
      </c>
      <c r="N135" s="5">
        <f t="shared" si="12"/>
        <v>1</v>
      </c>
      <c r="P135" s="12" t="s">
        <v>21</v>
      </c>
      <c r="Q135" s="7" t="s">
        <v>291</v>
      </c>
      <c r="R135" s="7" t="str">
        <f>INDEX('Brown tagset'!$B:$B,MATCH(IF(ISERROR(FIND("-",Q135)),IF(ISERROR(FIND("+",Q135)),Q135,LEFT(Q135,FIND("+",Q135)-1)),LEFT(Q135,FIND("-",Q135)-1)),'Brown tagset'!$A:$A,0))</f>
        <v>possessive personal pronoun (my, our)</v>
      </c>
      <c r="S135" s="7"/>
      <c r="T135" s="7" t="str">
        <f>INDEX('Brown-Universal mapping'!$B:$B,MATCH(Q135,'Brown-Universal mapping'!$A:$A,0))</f>
        <v>DET</v>
      </c>
      <c r="U135" s="7">
        <f t="shared" si="13"/>
        <v>1</v>
      </c>
      <c r="V135" s="7">
        <f t="shared" si="14"/>
        <v>1</v>
      </c>
      <c r="X135" s="12" t="s">
        <v>21</v>
      </c>
      <c r="Y135" s="7" t="s">
        <v>291</v>
      </c>
      <c r="Z135" s="7" t="str">
        <f>INDEX('Brown tagset'!$B:$B,MATCH(IF(ISERROR(FIND("-",Y135)),IF(ISERROR(FIND("+",Y135)),Y135,LEFT(Y135,FIND("+",Y135)-1)),LEFT(Y135,FIND("-",Y135)-1)),'Brown tagset'!$A:$A,0))</f>
        <v>possessive personal pronoun (my, our)</v>
      </c>
      <c r="AA135" s="7"/>
      <c r="AB135" s="7" t="str">
        <f>INDEX('Brown-Universal mapping'!$B:$B,MATCH(Y135,'Brown-Universal mapping'!$A:$A,0))</f>
        <v>DET</v>
      </c>
      <c r="AC135" s="7">
        <f t="shared" si="17"/>
        <v>1</v>
      </c>
      <c r="AD135" s="7">
        <f t="shared" si="18"/>
        <v>1</v>
      </c>
      <c r="AF135" s="9" t="s">
        <v>22</v>
      </c>
      <c r="AG135" s="9" t="str">
        <f>INDEX('Brown tagset'!$B:$B,MATCH(IF(ISERROR(FIND("-",AF135)),IF(ISERROR(FIND("+",AF135)),AF135,LEFT(AF135,FIND("+",AF135)-1)),LEFT(AF135,FIND("-",AF135)-1)),'Brown tagset'!$A:$A,0))</f>
        <v>possessive personal pronoun (my, our)</v>
      </c>
      <c r="AH135" s="9" t="s">
        <v>2</v>
      </c>
      <c r="AI135" s="9" t="str">
        <f>INDEX('Brown-Universal mapping'!$B:$B,MATCH(AF135,'Brown-Universal mapping'!$A:$A,0))</f>
        <v>DET</v>
      </c>
      <c r="AJ135" s="9">
        <f t="shared" si="15"/>
        <v>1</v>
      </c>
      <c r="AK135" s="9">
        <f t="shared" si="16"/>
        <v>1</v>
      </c>
      <c r="AM135" s="6">
        <f t="shared" si="19"/>
        <v>3</v>
      </c>
      <c r="AN135" s="6">
        <f t="shared" si="20"/>
        <v>3</v>
      </c>
      <c r="AP135" s="6" t="str">
        <f t="shared" si="21"/>
        <v>possessive personal pronoun (my, our)3</v>
      </c>
    </row>
    <row r="136" spans="1:42" x14ac:dyDescent="0.25">
      <c r="A136" s="25" t="s">
        <v>61</v>
      </c>
      <c r="B136" s="25"/>
      <c r="D136" s="3" t="s">
        <v>31</v>
      </c>
      <c r="E136" s="3" t="str">
        <f>INDEX('Brown tagset'!$B:$B,MATCH(IF(ISERROR(FIND("-",D136)),IF(ISERROR(FIND("+",D136)),D136,LEFT(D136,FIND("+",D136)-1)),LEFT(D136,FIND("-",D136)-1)),'Brown tagset'!$A:$A,0))</f>
        <v>plural noun</v>
      </c>
      <c r="F136" s="3"/>
      <c r="G136" s="3" t="str">
        <f>INDEX('Brown-Universal mapping'!$B:$B,MATCH(D136,'Brown-Universal mapping'!$A:$A,0))</f>
        <v>NOUN</v>
      </c>
      <c r="I136" s="5" t="s">
        <v>31</v>
      </c>
      <c r="J136" s="5" t="str">
        <f>INDEX('Brown tagset'!$B:$B,MATCH(IF(ISERROR(FIND("-",I136)),IF(ISERROR(FIND("+",I136)),I136,LEFT(I136,FIND("+",I136)-1)),LEFT(I136,FIND("-",I136)-1)),'Brown tagset'!$A:$A,0))</f>
        <v>plural noun</v>
      </c>
      <c r="K136" s="5" t="s">
        <v>13</v>
      </c>
      <c r="L136" s="5" t="str">
        <f>INDEX('Brown-Universal mapping'!$B:$B,MATCH(I136,'Brown-Universal mapping'!$A:$A,0))</f>
        <v>NOUN</v>
      </c>
      <c r="M136" s="5">
        <f t="shared" si="11"/>
        <v>1</v>
      </c>
      <c r="N136" s="5">
        <f t="shared" si="12"/>
        <v>1</v>
      </c>
      <c r="P136" s="12" t="s">
        <v>61</v>
      </c>
      <c r="Q136" s="7" t="s">
        <v>295</v>
      </c>
      <c r="R136" s="7" t="str">
        <f>INDEX('Brown tagset'!$B:$B,MATCH(IF(ISERROR(FIND("-",Q136)),IF(ISERROR(FIND("+",Q136)),Q136,LEFT(Q136,FIND("+",Q136)-1)),LEFT(Q136,FIND("-",Q136)-1)),'Brown tagset'!$A:$A,0))</f>
        <v>plural noun</v>
      </c>
      <c r="S136" s="7"/>
      <c r="T136" s="7" t="str">
        <f>INDEX('Brown-Universal mapping'!$B:$B,MATCH(Q136,'Brown-Universal mapping'!$A:$A,0))</f>
        <v>NOUN</v>
      </c>
      <c r="U136" s="7">
        <f t="shared" si="13"/>
        <v>1</v>
      </c>
      <c r="V136" s="7">
        <f t="shared" si="14"/>
        <v>1</v>
      </c>
      <c r="X136" s="12" t="s">
        <v>61</v>
      </c>
      <c r="Y136" s="7" t="s">
        <v>295</v>
      </c>
      <c r="Z136" s="7" t="str">
        <f>INDEX('Brown tagset'!$B:$B,MATCH(IF(ISERROR(FIND("-",Y136)),IF(ISERROR(FIND("+",Y136)),Y136,LEFT(Y136,FIND("+",Y136)-1)),LEFT(Y136,FIND("-",Y136)-1)),'Brown tagset'!$A:$A,0))</f>
        <v>plural noun</v>
      </c>
      <c r="AA136" s="7"/>
      <c r="AB136" s="7" t="str">
        <f>INDEX('Brown-Universal mapping'!$B:$B,MATCH(Y136,'Brown-Universal mapping'!$A:$A,0))</f>
        <v>NOUN</v>
      </c>
      <c r="AC136" s="7">
        <f t="shared" si="17"/>
        <v>1</v>
      </c>
      <c r="AD136" s="7">
        <f t="shared" si="18"/>
        <v>1</v>
      </c>
      <c r="AF136" s="9" t="s">
        <v>340</v>
      </c>
      <c r="AG136" s="9" t="str">
        <f>INDEX('Brown tagset'!$B:$B,MATCH(IF(ISERROR(FIND("-",AF136)),IF(ISERROR(FIND("+",AF136)),AF136,LEFT(AF136,FIND("+",AF136)-1)),LEFT(AF136,FIND("-",AF136)-1)),'Brown tagset'!$A:$A,0))</f>
        <v>unknown</v>
      </c>
      <c r="AH136" s="9" t="s">
        <v>2</v>
      </c>
      <c r="AI136" s="9" t="str">
        <f>INDEX('Brown-Universal mapping'!$B:$B,MATCH(AF136,'Brown-Universal mapping'!$A:$A,0))</f>
        <v>Unknown</v>
      </c>
      <c r="AJ136" s="9">
        <f t="shared" si="15"/>
        <v>0</v>
      </c>
      <c r="AK136" s="9">
        <f t="shared" si="16"/>
        <v>0</v>
      </c>
      <c r="AM136" s="6">
        <f t="shared" si="19"/>
        <v>2</v>
      </c>
      <c r="AN136" s="6">
        <f t="shared" si="20"/>
        <v>2</v>
      </c>
      <c r="AP136" s="6" t="str">
        <f t="shared" si="21"/>
        <v>unknown2</v>
      </c>
    </row>
    <row r="137" spans="1:42" x14ac:dyDescent="0.25">
      <c r="A137" s="29" t="s">
        <v>105</v>
      </c>
      <c r="B137" s="29"/>
      <c r="D137" s="3" t="s">
        <v>38</v>
      </c>
      <c r="E137" s="3" t="str">
        <f>INDEX('Brown tagset'!$B:$B,MATCH(IF(ISERROR(FIND("-",D137)),IF(ISERROR(FIND("+",D137)),D137,LEFT(D137,FIND("+",D137)-1)),LEFT(D137,FIND("-",D137)-1)),'Brown tagset'!$A:$A,0))</f>
        <v>sentence (. ; ? *)</v>
      </c>
      <c r="F137" s="3"/>
      <c r="G137" s="3" t="str">
        <f>INDEX('Brown-Universal mapping'!$B:$B,MATCH(D137,'Brown-Universal mapping'!$A:$A,0))</f>
        <v>.</v>
      </c>
      <c r="I137" s="5" t="s">
        <v>38</v>
      </c>
      <c r="J137" s="5" t="str">
        <f>INDEX('Brown tagset'!$B:$B,MATCH(IF(ISERROR(FIND("-",I137)),IF(ISERROR(FIND("+",I137)),I137,LEFT(I137,FIND("+",I137)-1)),LEFT(I137,FIND("-",I137)-1)),'Brown tagset'!$A:$A,0))</f>
        <v>sentence (. ; ? *)</v>
      </c>
      <c r="K137" s="5" t="s">
        <v>38</v>
      </c>
      <c r="L137" s="5" t="str">
        <f>INDEX('Brown-Universal mapping'!$B:$B,MATCH(I137,'Brown-Universal mapping'!$A:$A,0))</f>
        <v>.</v>
      </c>
      <c r="M137" s="5">
        <f t="shared" si="11"/>
        <v>1</v>
      </c>
      <c r="N137" s="5">
        <f t="shared" si="12"/>
        <v>1</v>
      </c>
      <c r="P137" s="12" t="s">
        <v>105</v>
      </c>
      <c r="Q137" s="7" t="s">
        <v>38</v>
      </c>
      <c r="R137" s="7" t="str">
        <f>INDEX('Brown tagset'!$B:$B,MATCH(IF(ISERROR(FIND("-",Q137)),IF(ISERROR(FIND("+",Q137)),Q137,LEFT(Q137,FIND("+",Q137)-1)),LEFT(Q137,FIND("-",Q137)-1)),'Brown tagset'!$A:$A,0))</f>
        <v>sentence (. ; ? *)</v>
      </c>
      <c r="S137" s="7"/>
      <c r="T137" s="7" t="str">
        <f>INDEX('Brown-Universal mapping'!$B:$B,MATCH(Q137,'Brown-Universal mapping'!$A:$A,0))</f>
        <v>.</v>
      </c>
      <c r="U137" s="7">
        <f t="shared" si="13"/>
        <v>1</v>
      </c>
      <c r="V137" s="7">
        <f t="shared" si="14"/>
        <v>1</v>
      </c>
      <c r="X137" s="12" t="s">
        <v>105</v>
      </c>
      <c r="Y137" s="7" t="s">
        <v>38</v>
      </c>
      <c r="Z137" s="7" t="str">
        <f>INDEX('Brown tagset'!$B:$B,MATCH(IF(ISERROR(FIND("-",Y137)),IF(ISERROR(FIND("+",Y137)),Y137,LEFT(Y137,FIND("+",Y137)-1)),LEFT(Y137,FIND("-",Y137)-1)),'Brown tagset'!$A:$A,0))</f>
        <v>sentence (. ; ? *)</v>
      </c>
      <c r="AA137" s="7"/>
      <c r="AB137" s="7" t="str">
        <f>INDEX('Brown-Universal mapping'!$B:$B,MATCH(Y137,'Brown-Universal mapping'!$A:$A,0))</f>
        <v>.</v>
      </c>
      <c r="AC137" s="7">
        <f t="shared" si="17"/>
        <v>1</v>
      </c>
      <c r="AD137" s="7">
        <f t="shared" si="18"/>
        <v>1</v>
      </c>
      <c r="AF137" s="9" t="s">
        <v>38</v>
      </c>
      <c r="AG137" s="9" t="str">
        <f>INDEX('Brown tagset'!$B:$B,MATCH(IF(ISERROR(FIND("-",AF137)),IF(ISERROR(FIND("+",AF137)),AF137,LEFT(AF137,FIND("+",AF137)-1)),LEFT(AF137,FIND("-",AF137)-1)),'Brown tagset'!$A:$A,0))</f>
        <v>sentence (. ; ? *)</v>
      </c>
      <c r="AH137" s="9" t="s">
        <v>38</v>
      </c>
      <c r="AI137" s="9" t="str">
        <f>INDEX('Brown-Universal mapping'!$B:$B,MATCH(AF137,'Brown-Universal mapping'!$A:$A,0))</f>
        <v>.</v>
      </c>
      <c r="AJ137" s="9">
        <f t="shared" si="15"/>
        <v>1</v>
      </c>
      <c r="AK137" s="9">
        <f t="shared" si="16"/>
        <v>1</v>
      </c>
      <c r="AM137" s="6">
        <f t="shared" si="19"/>
        <v>3</v>
      </c>
      <c r="AN137" s="6">
        <f t="shared" si="20"/>
        <v>3</v>
      </c>
      <c r="AP137" s="6" t="str">
        <f t="shared" si="21"/>
        <v>sentence (. ; ? *)3</v>
      </c>
    </row>
    <row r="138" spans="1:42" x14ac:dyDescent="0.25">
      <c r="A138" s="29" t="s">
        <v>138</v>
      </c>
      <c r="B138" s="29"/>
      <c r="D138" s="3" t="s">
        <v>139</v>
      </c>
      <c r="E138" s="3" t="str">
        <f>INDEX('Brown tagset'!$B:$B,MATCH(IF(ISERROR(FIND("-",D138)),IF(ISERROR(FIND("+",D138)),D138,LEFT(D138,FIND("+",D138)-1)),LEFT(D138,FIND("-",D138)-1)),'Brown tagset'!$A:$A,0))</f>
        <v>singular determiner/quantifier (this, that)</v>
      </c>
      <c r="F138" s="3"/>
      <c r="G138" s="3" t="str">
        <f>INDEX('Brown-Universal mapping'!$B:$B,MATCH(D138,'Brown-Universal mapping'!$A:$A,0))</f>
        <v>DET</v>
      </c>
      <c r="I138" s="5" t="s">
        <v>139</v>
      </c>
      <c r="J138" s="5" t="str">
        <f>INDEX('Brown tagset'!$B:$B,MATCH(IF(ISERROR(FIND("-",I138)),IF(ISERROR(FIND("+",I138)),I138,LEFT(I138,FIND("+",I138)-1)),LEFT(I138,FIND("-",I138)-1)),'Brown tagset'!$A:$A,0))</f>
        <v>singular determiner/quantifier (this, that)</v>
      </c>
      <c r="K138" s="5" t="s">
        <v>84</v>
      </c>
      <c r="L138" s="5" t="str">
        <f>INDEX('Brown-Universal mapping'!$B:$B,MATCH(I138,'Brown-Universal mapping'!$A:$A,0))</f>
        <v>DET</v>
      </c>
      <c r="M138" s="5">
        <f t="shared" si="11"/>
        <v>1</v>
      </c>
      <c r="N138" s="5">
        <f t="shared" si="12"/>
        <v>1</v>
      </c>
      <c r="P138" s="12" t="s">
        <v>138</v>
      </c>
      <c r="Q138" s="7" t="s">
        <v>320</v>
      </c>
      <c r="R138" s="7" t="str">
        <f>INDEX('Brown tagset'!$B:$B,MATCH(IF(ISERROR(FIND("-",Q138)),IF(ISERROR(FIND("+",Q138)),Q138,LEFT(Q138,FIND("+",Q138)-1)),LEFT(Q138,FIND("-",Q138)-1)),'Brown tagset'!$A:$A,0))</f>
        <v>singular determiner/quantifier (this, that)</v>
      </c>
      <c r="S138" s="7"/>
      <c r="T138" s="7" t="str">
        <f>INDEX('Brown-Universal mapping'!$B:$B,MATCH(Q138,'Brown-Universal mapping'!$A:$A,0))</f>
        <v>DET</v>
      </c>
      <c r="U138" s="7">
        <f t="shared" si="13"/>
        <v>1</v>
      </c>
      <c r="V138" s="7">
        <f t="shared" si="14"/>
        <v>1</v>
      </c>
      <c r="X138" s="12" t="s">
        <v>138</v>
      </c>
      <c r="Y138" s="7" t="s">
        <v>320</v>
      </c>
      <c r="Z138" s="7" t="str">
        <f>INDEX('Brown tagset'!$B:$B,MATCH(IF(ISERROR(FIND("-",Y138)),IF(ISERROR(FIND("+",Y138)),Y138,LEFT(Y138,FIND("+",Y138)-1)),LEFT(Y138,FIND("-",Y138)-1)),'Brown tagset'!$A:$A,0))</f>
        <v>singular determiner/quantifier (this, that)</v>
      </c>
      <c r="AA138" s="7"/>
      <c r="AB138" s="7" t="str">
        <f>INDEX('Brown-Universal mapping'!$B:$B,MATCH(Y138,'Brown-Universal mapping'!$A:$A,0))</f>
        <v>DET</v>
      </c>
      <c r="AC138" s="7">
        <f t="shared" si="17"/>
        <v>1</v>
      </c>
      <c r="AD138" s="7">
        <f t="shared" si="18"/>
        <v>1</v>
      </c>
      <c r="AF138" s="9" t="s">
        <v>139</v>
      </c>
      <c r="AG138" s="9" t="str">
        <f>INDEX('Brown tagset'!$B:$B,MATCH(IF(ISERROR(FIND("-",AF138)),IF(ISERROR(FIND("+",AF138)),AF138,LEFT(AF138,FIND("+",AF138)-1)),LEFT(AF138,FIND("-",AF138)-1)),'Brown tagset'!$A:$A,0))</f>
        <v>singular determiner/quantifier (this, that)</v>
      </c>
      <c r="AH138" s="9" t="s">
        <v>84</v>
      </c>
      <c r="AI138" s="9" t="str">
        <f>INDEX('Brown-Universal mapping'!$B:$B,MATCH(AF138,'Brown-Universal mapping'!$A:$A,0))</f>
        <v>DET</v>
      </c>
      <c r="AJ138" s="9">
        <f t="shared" si="15"/>
        <v>1</v>
      </c>
      <c r="AK138" s="9">
        <f t="shared" si="16"/>
        <v>1</v>
      </c>
      <c r="AM138" s="6">
        <f t="shared" si="19"/>
        <v>3</v>
      </c>
      <c r="AN138" s="6">
        <f t="shared" si="20"/>
        <v>3</v>
      </c>
      <c r="AP138" s="6" t="str">
        <f t="shared" si="21"/>
        <v>singular determiner/quantifier (this, that)3</v>
      </c>
    </row>
    <row r="139" spans="1:42" x14ac:dyDescent="0.25">
      <c r="A139" s="29" t="s">
        <v>117</v>
      </c>
      <c r="B139" s="29"/>
      <c r="D139" s="3" t="s">
        <v>45</v>
      </c>
      <c r="E139" s="3" t="str">
        <f>INDEX('Brown tagset'!$B:$B,MATCH(IF(ISERROR(FIND("-",D139)),IF(ISERROR(FIND("+",D139)),D139,LEFT(D139,FIND("+",D139)-1)),LEFT(D139,FIND("-",D139)-1)),'Brown tagset'!$A:$A,0))</f>
        <v>adjective</v>
      </c>
      <c r="F139" s="3"/>
      <c r="G139" s="3" t="str">
        <f>INDEX('Brown-Universal mapping'!$B:$B,MATCH(D139,'Brown-Universal mapping'!$A:$A,0))</f>
        <v>ADJ</v>
      </c>
      <c r="I139" s="5" t="s">
        <v>45</v>
      </c>
      <c r="J139" s="5" t="str">
        <f>INDEX('Brown tagset'!$B:$B,MATCH(IF(ISERROR(FIND("-",I139)),IF(ISERROR(FIND("+",I139)),I139,LEFT(I139,FIND("+",I139)-1)),LEFT(I139,FIND("-",I139)-1)),'Brown tagset'!$A:$A,0))</f>
        <v>adjective</v>
      </c>
      <c r="K139" s="5" t="s">
        <v>46</v>
      </c>
      <c r="L139" s="5" t="str">
        <f>INDEX('Brown-Universal mapping'!$B:$B,MATCH(I139,'Brown-Universal mapping'!$A:$A,0))</f>
        <v>ADJ</v>
      </c>
      <c r="M139" s="5">
        <f t="shared" si="11"/>
        <v>1</v>
      </c>
      <c r="N139" s="5">
        <f t="shared" si="12"/>
        <v>1</v>
      </c>
      <c r="P139" s="12" t="s">
        <v>117</v>
      </c>
      <c r="Q139" s="7" t="s">
        <v>299</v>
      </c>
      <c r="R139" s="7" t="str">
        <f>INDEX('Brown tagset'!$B:$B,MATCH(IF(ISERROR(FIND("-",Q139)),IF(ISERROR(FIND("+",Q139)),Q139,LEFT(Q139,FIND("+",Q139)-1)),LEFT(Q139,FIND("-",Q139)-1)),'Brown tagset'!$A:$A,0))</f>
        <v>adjective</v>
      </c>
      <c r="S139" s="7"/>
      <c r="T139" s="7" t="str">
        <f>INDEX('Brown-Universal mapping'!$B:$B,MATCH(Q139,'Brown-Universal mapping'!$A:$A,0))</f>
        <v>ADJ</v>
      </c>
      <c r="U139" s="7">
        <f t="shared" si="13"/>
        <v>1</v>
      </c>
      <c r="V139" s="7">
        <f t="shared" si="14"/>
        <v>1</v>
      </c>
      <c r="X139" s="12" t="s">
        <v>117</v>
      </c>
      <c r="Y139" s="7" t="s">
        <v>299</v>
      </c>
      <c r="Z139" s="7" t="str">
        <f>INDEX('Brown tagset'!$B:$B,MATCH(IF(ISERROR(FIND("-",Y139)),IF(ISERROR(FIND("+",Y139)),Y139,LEFT(Y139,FIND("+",Y139)-1)),LEFT(Y139,FIND("-",Y139)-1)),'Brown tagset'!$A:$A,0))</f>
        <v>adjective</v>
      </c>
      <c r="AA139" s="7"/>
      <c r="AB139" s="7" t="str">
        <f>INDEX('Brown-Universal mapping'!$B:$B,MATCH(Y139,'Brown-Universal mapping'!$A:$A,0))</f>
        <v>ADJ</v>
      </c>
      <c r="AC139" s="7">
        <f t="shared" si="17"/>
        <v>1</v>
      </c>
      <c r="AD139" s="7">
        <f t="shared" si="18"/>
        <v>1</v>
      </c>
      <c r="AF139" s="9" t="s">
        <v>45</v>
      </c>
      <c r="AG139" s="9" t="str">
        <f>INDEX('Brown tagset'!$B:$B,MATCH(IF(ISERROR(FIND("-",AF139)),IF(ISERROR(FIND("+",AF139)),AF139,LEFT(AF139,FIND("+",AF139)-1)),LEFT(AF139,FIND("-",AF139)-1)),'Brown tagset'!$A:$A,0))</f>
        <v>adjective</v>
      </c>
      <c r="AH139" s="9" t="s">
        <v>46</v>
      </c>
      <c r="AI139" s="9" t="str">
        <f>INDEX('Brown-Universal mapping'!$B:$B,MATCH(AF139,'Brown-Universal mapping'!$A:$A,0))</f>
        <v>ADJ</v>
      </c>
      <c r="AJ139" s="9">
        <f t="shared" si="15"/>
        <v>1</v>
      </c>
      <c r="AK139" s="9">
        <f t="shared" si="16"/>
        <v>1</v>
      </c>
      <c r="AM139" s="6">
        <f t="shared" si="19"/>
        <v>3</v>
      </c>
      <c r="AN139" s="6">
        <f t="shared" si="20"/>
        <v>3</v>
      </c>
      <c r="AP139" s="6" t="str">
        <f t="shared" si="21"/>
        <v>adjective3</v>
      </c>
    </row>
    <row r="140" spans="1:42" x14ac:dyDescent="0.25">
      <c r="A140" s="29" t="s">
        <v>62</v>
      </c>
      <c r="B140" s="29"/>
      <c r="D140" s="3" t="s">
        <v>62</v>
      </c>
      <c r="E140" s="3" t="str">
        <f>INDEX('Brown tagset'!$B:$B,MATCH(IF(ISERROR(FIND("-",D140)),IF(ISERROR(FIND("+",D140)),D140,LEFT(D140,FIND("+",D140)-1)),LEFT(D140,FIND("-",D140)-1)),'Brown tagset'!$A:$A,0))</f>
        <v>comma</v>
      </c>
      <c r="F140" s="3"/>
      <c r="G140" s="3" t="str">
        <f>INDEX('Brown-Universal mapping'!$B:$B,MATCH(D140,'Brown-Universal mapping'!$A:$A,0))</f>
        <v>.</v>
      </c>
      <c r="I140" s="5" t="s">
        <v>62</v>
      </c>
      <c r="J140" s="5" t="str">
        <f>INDEX('Brown tagset'!$B:$B,MATCH(IF(ISERROR(FIND("-",I140)),IF(ISERROR(FIND("+",I140)),I140,LEFT(I140,FIND("+",I140)-1)),LEFT(I140,FIND("-",I140)-1)),'Brown tagset'!$A:$A,0))</f>
        <v>comma</v>
      </c>
      <c r="K140" s="5" t="s">
        <v>38</v>
      </c>
      <c r="L140" s="5" t="str">
        <f>INDEX('Brown-Universal mapping'!$B:$B,MATCH(I140,'Brown-Universal mapping'!$A:$A,0))</f>
        <v>.</v>
      </c>
      <c r="M140" s="5">
        <f t="shared" si="11"/>
        <v>1</v>
      </c>
      <c r="N140" s="5">
        <f t="shared" si="12"/>
        <v>1</v>
      </c>
      <c r="P140" s="12" t="s">
        <v>62</v>
      </c>
      <c r="Q140" s="7" t="s">
        <v>62</v>
      </c>
      <c r="R140" s="7" t="str">
        <f>INDEX('Brown tagset'!$B:$B,MATCH(IF(ISERROR(FIND("-",Q140)),IF(ISERROR(FIND("+",Q140)),Q140,LEFT(Q140,FIND("+",Q140)-1)),LEFT(Q140,FIND("-",Q140)-1)),'Brown tagset'!$A:$A,0))</f>
        <v>comma</v>
      </c>
      <c r="S140" s="7"/>
      <c r="T140" s="7" t="str">
        <f>INDEX('Brown-Universal mapping'!$B:$B,MATCH(Q140,'Brown-Universal mapping'!$A:$A,0))</f>
        <v>.</v>
      </c>
      <c r="U140" s="7">
        <f t="shared" si="13"/>
        <v>1</v>
      </c>
      <c r="V140" s="7">
        <f t="shared" si="14"/>
        <v>1</v>
      </c>
      <c r="X140" s="12" t="s">
        <v>62</v>
      </c>
      <c r="Y140" s="7" t="s">
        <v>62</v>
      </c>
      <c r="Z140" s="7" t="str">
        <f>INDEX('Brown tagset'!$B:$B,MATCH(IF(ISERROR(FIND("-",Y140)),IF(ISERROR(FIND("+",Y140)),Y140,LEFT(Y140,FIND("+",Y140)-1)),LEFT(Y140,FIND("-",Y140)-1)),'Brown tagset'!$A:$A,0))</f>
        <v>comma</v>
      </c>
      <c r="AA140" s="7"/>
      <c r="AB140" s="7" t="str">
        <f>INDEX('Brown-Universal mapping'!$B:$B,MATCH(Y140,'Brown-Universal mapping'!$A:$A,0))</f>
        <v>.</v>
      </c>
      <c r="AC140" s="7">
        <f t="shared" si="17"/>
        <v>1</v>
      </c>
      <c r="AD140" s="7">
        <f t="shared" si="18"/>
        <v>1</v>
      </c>
      <c r="AF140" s="9" t="s">
        <v>62</v>
      </c>
      <c r="AG140" s="9" t="str">
        <f>INDEX('Brown tagset'!$B:$B,MATCH(IF(ISERROR(FIND("-",AF140)),IF(ISERROR(FIND("+",AF140)),AF140,LEFT(AF140,FIND("+",AF140)-1)),LEFT(AF140,FIND("-",AF140)-1)),'Brown tagset'!$A:$A,0))</f>
        <v>comma</v>
      </c>
      <c r="AH140" s="9" t="s">
        <v>38</v>
      </c>
      <c r="AI140" s="9" t="str">
        <f>INDEX('Brown-Universal mapping'!$B:$B,MATCH(AF140,'Brown-Universal mapping'!$A:$A,0))</f>
        <v>.</v>
      </c>
      <c r="AJ140" s="9">
        <f t="shared" si="15"/>
        <v>1</v>
      </c>
      <c r="AK140" s="9">
        <f t="shared" si="16"/>
        <v>1</v>
      </c>
      <c r="AM140" s="6">
        <f t="shared" si="19"/>
        <v>3</v>
      </c>
      <c r="AN140" s="6">
        <f t="shared" si="20"/>
        <v>3</v>
      </c>
      <c r="AP140" s="6" t="str">
        <f t="shared" si="21"/>
        <v>comma3</v>
      </c>
    </row>
    <row r="141" spans="1:42" x14ac:dyDescent="0.25">
      <c r="A141" s="29" t="s">
        <v>140</v>
      </c>
      <c r="B141" s="29"/>
      <c r="C141" s="4">
        <v>1</v>
      </c>
      <c r="D141" s="3" t="s">
        <v>4</v>
      </c>
      <c r="E141" s="3" t="str">
        <f>INDEX('Brown tagset'!$B:$B,MATCH(IF(ISERROR(FIND("-",D141)),IF(ISERROR(FIND("+",D141)),D141,LEFT(D141,FIND("+",D141)-1)),LEFT(D141,FIND("-",D141)-1)),'Brown tagset'!$A:$A,0))</f>
        <v>adverb</v>
      </c>
      <c r="F141" s="3"/>
      <c r="G141" s="3" t="str">
        <f>INDEX('Brown-Universal mapping'!$B:$B,MATCH(D141,'Brown-Universal mapping'!$A:$A,0))</f>
        <v>ADV</v>
      </c>
      <c r="I141" s="5" t="s">
        <v>4</v>
      </c>
      <c r="J141" s="5" t="str">
        <f>INDEX('Brown tagset'!$B:$B,MATCH(IF(ISERROR(FIND("-",I141)),IF(ISERROR(FIND("+",I141)),I141,LEFT(I141,FIND("+",I141)-1)),LEFT(I141,FIND("-",I141)-1)),'Brown tagset'!$A:$A,0))</f>
        <v>adverb</v>
      </c>
      <c r="K141" s="5" t="s">
        <v>5</v>
      </c>
      <c r="L141" s="5" t="str">
        <f>INDEX('Brown-Universal mapping'!$B:$B,MATCH(I141,'Brown-Universal mapping'!$A:$A,0))</f>
        <v>ADV</v>
      </c>
      <c r="M141" s="5">
        <f t="shared" si="11"/>
        <v>1</v>
      </c>
      <c r="N141" s="5">
        <f t="shared" si="12"/>
        <v>1</v>
      </c>
      <c r="P141" s="12" t="s">
        <v>140</v>
      </c>
      <c r="Q141" s="7" t="s">
        <v>288</v>
      </c>
      <c r="R141" s="7" t="str">
        <f>INDEX('Brown tagset'!$B:$B,MATCH(IF(ISERROR(FIND("-",Q141)),IF(ISERROR(FIND("+",Q141)),Q141,LEFT(Q141,FIND("+",Q141)-1)),LEFT(Q141,FIND("-",Q141)-1)),'Brown tagset'!$A:$A,0))</f>
        <v>adverb</v>
      </c>
      <c r="S141" s="7"/>
      <c r="T141" s="7" t="str">
        <f>INDEX('Brown-Universal mapping'!$B:$B,MATCH(Q141,'Brown-Universal mapping'!$A:$A,0))</f>
        <v>ADV</v>
      </c>
      <c r="U141" s="7">
        <f t="shared" si="13"/>
        <v>1</v>
      </c>
      <c r="V141" s="7">
        <f t="shared" si="14"/>
        <v>1</v>
      </c>
      <c r="X141" s="12" t="s">
        <v>140</v>
      </c>
      <c r="Y141" s="7" t="s">
        <v>288</v>
      </c>
      <c r="Z141" s="7" t="str">
        <f>INDEX('Brown tagset'!$B:$B,MATCH(IF(ISERROR(FIND("-",Y141)),IF(ISERROR(FIND("+",Y141)),Y141,LEFT(Y141,FIND("+",Y141)-1)),LEFT(Y141,FIND("-",Y141)-1)),'Brown tagset'!$A:$A,0))</f>
        <v>adverb</v>
      </c>
      <c r="AA141" s="7"/>
      <c r="AB141" s="7" t="str">
        <f>INDEX('Brown-Universal mapping'!$B:$B,MATCH(Y141,'Brown-Universal mapping'!$A:$A,0))</f>
        <v>ADV</v>
      </c>
      <c r="AC141" s="7">
        <f t="shared" si="17"/>
        <v>1</v>
      </c>
      <c r="AD141" s="7">
        <f t="shared" si="18"/>
        <v>1</v>
      </c>
      <c r="AF141" s="9" t="s">
        <v>4</v>
      </c>
      <c r="AG141" s="9" t="str">
        <f>INDEX('Brown tagset'!$B:$B,MATCH(IF(ISERROR(FIND("-",AF141)),IF(ISERROR(FIND("+",AF141)),AF141,LEFT(AF141,FIND("+",AF141)-1)),LEFT(AF141,FIND("-",AF141)-1)),'Brown tagset'!$A:$A,0))</f>
        <v>adverb</v>
      </c>
      <c r="AH141" s="9" t="s">
        <v>5</v>
      </c>
      <c r="AI141" s="9" t="str">
        <f>INDEX('Brown-Universal mapping'!$B:$B,MATCH(AF141,'Brown-Universal mapping'!$A:$A,0))</f>
        <v>ADV</v>
      </c>
      <c r="AJ141" s="9">
        <f t="shared" si="15"/>
        <v>1</v>
      </c>
      <c r="AK141" s="9">
        <f t="shared" si="16"/>
        <v>1</v>
      </c>
      <c r="AM141" s="6">
        <f t="shared" si="19"/>
        <v>3</v>
      </c>
      <c r="AN141" s="6">
        <f t="shared" si="20"/>
        <v>3</v>
      </c>
      <c r="AP141" s="6" t="str">
        <f t="shared" si="21"/>
        <v>adverb3</v>
      </c>
    </row>
    <row r="142" spans="1:42" x14ac:dyDescent="0.25">
      <c r="A142" s="29" t="s">
        <v>141</v>
      </c>
      <c r="B142" s="29"/>
      <c r="D142" s="3" t="s">
        <v>9</v>
      </c>
      <c r="E142" s="3" t="str">
        <f>INDEX('Brown tagset'!$B:$B,MATCH(IF(ISERROR(FIND("-",D142)),IF(ISERROR(FIND("+",D142)),D142,LEFT(D142,FIND("+",D142)-1)),LEFT(D142,FIND("-",D142)-1)),'Brown tagset'!$A:$A,0))</f>
        <v>verb, present participle/gerund</v>
      </c>
      <c r="F142" s="3"/>
      <c r="G142" s="3" t="str">
        <f>INDEX('Brown-Universal mapping'!$B:$B,MATCH(D142,'Brown-Universal mapping'!$A:$A,0))</f>
        <v>VERB</v>
      </c>
      <c r="I142" s="5" t="s">
        <v>9</v>
      </c>
      <c r="J142" s="5" t="str">
        <f>INDEX('Brown tagset'!$B:$B,MATCH(IF(ISERROR(FIND("-",I142)),IF(ISERROR(FIND("+",I142)),I142,LEFT(I142,FIND("+",I142)-1)),LEFT(I142,FIND("-",I142)-1)),'Brown tagset'!$A:$A,0))</f>
        <v>verb, present participle/gerund</v>
      </c>
      <c r="K142" s="5" t="s">
        <v>10</v>
      </c>
      <c r="L142" s="5" t="str">
        <f>INDEX('Brown-Universal mapping'!$B:$B,MATCH(I142,'Brown-Universal mapping'!$A:$A,0))</f>
        <v>VERB</v>
      </c>
      <c r="M142" s="5">
        <f t="shared" si="11"/>
        <v>1</v>
      </c>
      <c r="N142" s="5">
        <f t="shared" si="12"/>
        <v>1</v>
      </c>
      <c r="P142" s="12" t="s">
        <v>141</v>
      </c>
      <c r="Q142" s="7" t="s">
        <v>292</v>
      </c>
      <c r="R142" s="7" t="str">
        <f>INDEX('Brown tagset'!$B:$B,MATCH(IF(ISERROR(FIND("-",Q142)),IF(ISERROR(FIND("+",Q142)),Q142,LEFT(Q142,FIND("+",Q142)-1)),LEFT(Q142,FIND("-",Q142)-1)),'Brown tagset'!$A:$A,0))</f>
        <v>verb, present participle/gerund</v>
      </c>
      <c r="S142" s="7"/>
      <c r="T142" s="7" t="str">
        <f>INDEX('Brown-Universal mapping'!$B:$B,MATCH(Q142,'Brown-Universal mapping'!$A:$A,0))</f>
        <v>VERB</v>
      </c>
      <c r="U142" s="7">
        <f t="shared" si="13"/>
        <v>1</v>
      </c>
      <c r="V142" s="7">
        <f t="shared" si="14"/>
        <v>1</v>
      </c>
      <c r="X142" s="12" t="s">
        <v>141</v>
      </c>
      <c r="Y142" s="7" t="s">
        <v>292</v>
      </c>
      <c r="Z142" s="7" t="str">
        <f>INDEX('Brown tagset'!$B:$B,MATCH(IF(ISERROR(FIND("-",Y142)),IF(ISERROR(FIND("+",Y142)),Y142,LEFT(Y142,FIND("+",Y142)-1)),LEFT(Y142,FIND("-",Y142)-1)),'Brown tagset'!$A:$A,0))</f>
        <v>verb, present participle/gerund</v>
      </c>
      <c r="AA142" s="7"/>
      <c r="AB142" s="7" t="str">
        <f>INDEX('Brown-Universal mapping'!$B:$B,MATCH(Y142,'Brown-Universal mapping'!$A:$A,0))</f>
        <v>VERB</v>
      </c>
      <c r="AC142" s="7">
        <f t="shared" si="17"/>
        <v>1</v>
      </c>
      <c r="AD142" s="7">
        <f t="shared" si="18"/>
        <v>1</v>
      </c>
      <c r="AF142" s="9" t="s">
        <v>9</v>
      </c>
      <c r="AG142" s="9" t="str">
        <f>INDEX('Brown tagset'!$B:$B,MATCH(IF(ISERROR(FIND("-",AF142)),IF(ISERROR(FIND("+",AF142)),AF142,LEFT(AF142,FIND("+",AF142)-1)),LEFT(AF142,FIND("-",AF142)-1)),'Brown tagset'!$A:$A,0))</f>
        <v>verb, present participle/gerund</v>
      </c>
      <c r="AH142" s="9" t="s">
        <v>10</v>
      </c>
      <c r="AI142" s="9" t="str">
        <f>INDEX('Brown-Universal mapping'!$B:$B,MATCH(AF142,'Brown-Universal mapping'!$A:$A,0))</f>
        <v>VERB</v>
      </c>
      <c r="AJ142" s="9">
        <f t="shared" si="15"/>
        <v>1</v>
      </c>
      <c r="AK142" s="9">
        <f t="shared" si="16"/>
        <v>1</v>
      </c>
      <c r="AM142" s="6">
        <f t="shared" si="19"/>
        <v>3</v>
      </c>
      <c r="AN142" s="6">
        <f t="shared" si="20"/>
        <v>3</v>
      </c>
      <c r="AP142" s="6" t="str">
        <f t="shared" si="21"/>
        <v>verb, present participle/gerund3</v>
      </c>
    </row>
    <row r="143" spans="1:42" x14ac:dyDescent="0.25">
      <c r="A143" s="29" t="s">
        <v>142</v>
      </c>
      <c r="B143" s="29"/>
      <c r="D143" s="3" t="s">
        <v>12</v>
      </c>
      <c r="E143" s="3" t="str">
        <f>INDEX('Brown tagset'!$B:$B,MATCH(IF(ISERROR(FIND("-",D143)),IF(ISERROR(FIND("+",D143)),D143,LEFT(D143,FIND("+",D143)-1)),LEFT(D143,FIND("-",D143)-1)),'Brown tagset'!$A:$A,0))</f>
        <v>singular or mass noun</v>
      </c>
      <c r="F143" s="3"/>
      <c r="G143" s="3" t="str">
        <f>INDEX('Brown-Universal mapping'!$B:$B,MATCH(D143,'Brown-Universal mapping'!$A:$A,0))</f>
        <v>NOUN</v>
      </c>
      <c r="I143" s="5" t="s">
        <v>12</v>
      </c>
      <c r="J143" s="5" t="str">
        <f>INDEX('Brown tagset'!$B:$B,MATCH(IF(ISERROR(FIND("-",I143)),IF(ISERROR(FIND("+",I143)),I143,LEFT(I143,FIND("+",I143)-1)),LEFT(I143,FIND("-",I143)-1)),'Brown tagset'!$A:$A,0))</f>
        <v>singular or mass noun</v>
      </c>
      <c r="K143" s="5" t="s">
        <v>13</v>
      </c>
      <c r="L143" s="5" t="str">
        <f>INDEX('Brown-Universal mapping'!$B:$B,MATCH(I143,'Brown-Universal mapping'!$A:$A,0))</f>
        <v>NOUN</v>
      </c>
      <c r="M143" s="5">
        <f t="shared" ref="M143:M205" si="22">IF(I143=$D143,1,0)</f>
        <v>1</v>
      </c>
      <c r="N143" s="5">
        <f t="shared" ref="N143:N205" si="23">IF(L143=$G143,1,0)</f>
        <v>1</v>
      </c>
      <c r="P143" s="12" t="s">
        <v>142</v>
      </c>
      <c r="Q143" s="7" t="s">
        <v>289</v>
      </c>
      <c r="R143" s="7" t="str">
        <f>INDEX('Brown tagset'!$B:$B,MATCH(IF(ISERROR(FIND("-",Q143)),IF(ISERROR(FIND("+",Q143)),Q143,LEFT(Q143,FIND("+",Q143)-1)),LEFT(Q143,FIND("-",Q143)-1)),'Brown tagset'!$A:$A,0))</f>
        <v>singular or mass noun</v>
      </c>
      <c r="S143" s="7"/>
      <c r="T143" s="7" t="str">
        <f>INDEX('Brown-Universal mapping'!$B:$B,MATCH(Q143,'Brown-Universal mapping'!$A:$A,0))</f>
        <v>NOUN</v>
      </c>
      <c r="U143" s="7">
        <f t="shared" ref="U143:U205" si="24">IF(Q143=$D143,1,0)</f>
        <v>1</v>
      </c>
      <c r="V143" s="7">
        <f t="shared" ref="V143:V205" si="25">IF(T143=$G143,1,0)</f>
        <v>1</v>
      </c>
      <c r="X143" s="12" t="s">
        <v>142</v>
      </c>
      <c r="Y143" s="7" t="s">
        <v>289</v>
      </c>
      <c r="Z143" s="7" t="str">
        <f>INDEX('Brown tagset'!$B:$B,MATCH(IF(ISERROR(FIND("-",Y143)),IF(ISERROR(FIND("+",Y143)),Y143,LEFT(Y143,FIND("+",Y143)-1)),LEFT(Y143,FIND("-",Y143)-1)),'Brown tagset'!$A:$A,0))</f>
        <v>singular or mass noun</v>
      </c>
      <c r="AA143" s="7"/>
      <c r="AB143" s="7" t="str">
        <f>INDEX('Brown-Universal mapping'!$B:$B,MATCH(Y143,'Brown-Universal mapping'!$A:$A,0))</f>
        <v>NOUN</v>
      </c>
      <c r="AC143" s="7">
        <f t="shared" si="17"/>
        <v>1</v>
      </c>
      <c r="AD143" s="7">
        <f t="shared" si="18"/>
        <v>1</v>
      </c>
      <c r="AF143" s="9" t="s">
        <v>12</v>
      </c>
      <c r="AG143" s="9" t="str">
        <f>INDEX('Brown tagset'!$B:$B,MATCH(IF(ISERROR(FIND("-",AF143)),IF(ISERROR(FIND("+",AF143)),AF143,LEFT(AF143,FIND("+",AF143)-1)),LEFT(AF143,FIND("-",AF143)-1)),'Brown tagset'!$A:$A,0))</f>
        <v>singular or mass noun</v>
      </c>
      <c r="AH143" s="9" t="s">
        <v>13</v>
      </c>
      <c r="AI143" s="9" t="str">
        <f>INDEX('Brown-Universal mapping'!$B:$B,MATCH(AF143,'Brown-Universal mapping'!$A:$A,0))</f>
        <v>NOUN</v>
      </c>
      <c r="AJ143" s="9">
        <f t="shared" ref="AJ143:AJ205" si="26">IF(AF143=$D143,1,0)</f>
        <v>1</v>
      </c>
      <c r="AK143" s="9">
        <f t="shared" ref="AK143:AK205" si="27">IF(AI143=$G143,1,0)</f>
        <v>1</v>
      </c>
      <c r="AM143" s="6">
        <f t="shared" si="19"/>
        <v>3</v>
      </c>
      <c r="AN143" s="6">
        <f t="shared" si="20"/>
        <v>3</v>
      </c>
      <c r="AP143" s="6" t="str">
        <f t="shared" si="21"/>
        <v>singular or mass noun3</v>
      </c>
    </row>
    <row r="144" spans="1:42" x14ac:dyDescent="0.25">
      <c r="A144" s="29" t="s">
        <v>78</v>
      </c>
      <c r="B144" s="29"/>
      <c r="D144" s="3" t="s">
        <v>59</v>
      </c>
      <c r="E144" s="3" t="str">
        <f>INDEX('Brown tagset'!$B:$B,MATCH(IF(ISERROR(FIND("-",D144)),IF(ISERROR(FIND("+",D144)),D144,LEFT(D144,FIND("+",D144)-1)),LEFT(D144,FIND("-",D144)-1)),'Brown tagset'!$A:$A,0))</f>
        <v>preposition</v>
      </c>
      <c r="F144" s="3"/>
      <c r="G144" s="3" t="str">
        <f>INDEX('Brown-Universal mapping'!$B:$B,MATCH(D144,'Brown-Universal mapping'!$A:$A,0))</f>
        <v>ADP</v>
      </c>
      <c r="I144" s="5" t="s">
        <v>59</v>
      </c>
      <c r="J144" s="5" t="str">
        <f>INDEX('Brown tagset'!$B:$B,MATCH(IF(ISERROR(FIND("-",I144)),IF(ISERROR(FIND("+",I144)),I144,LEFT(I144,FIND("+",I144)-1)),LEFT(I144,FIND("-",I144)-1)),'Brown tagset'!$A:$A,0))</f>
        <v>preposition</v>
      </c>
      <c r="K144" s="5" t="s">
        <v>60</v>
      </c>
      <c r="L144" s="5" t="str">
        <f>INDEX('Brown-Universal mapping'!$B:$B,MATCH(I144,'Brown-Universal mapping'!$A:$A,0))</f>
        <v>ADP</v>
      </c>
      <c r="M144" s="5">
        <f t="shared" si="22"/>
        <v>1</v>
      </c>
      <c r="N144" s="5">
        <f t="shared" si="23"/>
        <v>1</v>
      </c>
      <c r="P144" s="12" t="s">
        <v>78</v>
      </c>
      <c r="Q144" s="7" t="s">
        <v>124</v>
      </c>
      <c r="R144" s="7" t="str">
        <f>INDEX('Brown tagset'!$B:$B,MATCH(IF(ISERROR(FIND("-",Q144)),IF(ISERROR(FIND("+",Q144)),Q144,LEFT(Q144,FIND("+",Q144)-1)),LEFT(Q144,FIND("-",Q144)-1)),'Brown tagset'!$A:$A,0))</f>
        <v>preposition</v>
      </c>
      <c r="S144" s="7"/>
      <c r="T144" s="7" t="str">
        <f>INDEX('Brown-Universal mapping'!$B:$B,MATCH(Q144,'Brown-Universal mapping'!$A:$A,0))</f>
        <v>ADP</v>
      </c>
      <c r="U144" s="7">
        <f t="shared" si="24"/>
        <v>1</v>
      </c>
      <c r="V144" s="7">
        <f t="shared" si="25"/>
        <v>1</v>
      </c>
      <c r="X144" s="12" t="s">
        <v>78</v>
      </c>
      <c r="Y144" s="7" t="s">
        <v>124</v>
      </c>
      <c r="Z144" s="7" t="str">
        <f>INDEX('Brown tagset'!$B:$B,MATCH(IF(ISERROR(FIND("-",Y144)),IF(ISERROR(FIND("+",Y144)),Y144,LEFT(Y144,FIND("+",Y144)-1)),LEFT(Y144,FIND("-",Y144)-1)),'Brown tagset'!$A:$A,0))</f>
        <v>preposition</v>
      </c>
      <c r="AA144" s="7"/>
      <c r="AB144" s="7" t="str">
        <f>INDEX('Brown-Universal mapping'!$B:$B,MATCH(Y144,'Brown-Universal mapping'!$A:$A,0))</f>
        <v>ADP</v>
      </c>
      <c r="AC144" s="7">
        <f t="shared" si="17"/>
        <v>1</v>
      </c>
      <c r="AD144" s="7">
        <f t="shared" si="18"/>
        <v>1</v>
      </c>
      <c r="AF144" s="9" t="s">
        <v>59</v>
      </c>
      <c r="AG144" s="9" t="str">
        <f>INDEX('Brown tagset'!$B:$B,MATCH(IF(ISERROR(FIND("-",AF144)),IF(ISERROR(FIND("+",AF144)),AF144,LEFT(AF144,FIND("+",AF144)-1)),LEFT(AF144,FIND("-",AF144)-1)),'Brown tagset'!$A:$A,0))</f>
        <v>preposition</v>
      </c>
      <c r="AH144" s="9" t="s">
        <v>60</v>
      </c>
      <c r="AI144" s="9" t="str">
        <f>INDEX('Brown-Universal mapping'!$B:$B,MATCH(AF144,'Brown-Universal mapping'!$A:$A,0))</f>
        <v>ADP</v>
      </c>
      <c r="AJ144" s="9">
        <f t="shared" si="26"/>
        <v>1</v>
      </c>
      <c r="AK144" s="9">
        <f t="shared" si="27"/>
        <v>1</v>
      </c>
      <c r="AM144" s="6">
        <f t="shared" si="19"/>
        <v>3</v>
      </c>
      <c r="AN144" s="6">
        <f t="shared" si="20"/>
        <v>3</v>
      </c>
      <c r="AP144" s="6" t="str">
        <f t="shared" si="21"/>
        <v>preposition3</v>
      </c>
    </row>
    <row r="145" spans="1:42" x14ac:dyDescent="0.25">
      <c r="A145" s="29" t="s">
        <v>90</v>
      </c>
      <c r="B145" s="29"/>
      <c r="D145" s="3" t="s">
        <v>7</v>
      </c>
      <c r="E145" s="3" t="str">
        <f>INDEX('Brown tagset'!$B:$B,MATCH(IF(ISERROR(FIND("-",D145)),IF(ISERROR(FIND("+",D145)),D145,LEFT(D145,FIND("+",D145)-1)),LEFT(D145,FIND("-",D145)-1)),'Brown tagset'!$A:$A,0))</f>
        <v>article (a, the, no)</v>
      </c>
      <c r="F145" s="3"/>
      <c r="G145" s="3" t="str">
        <f>INDEX('Brown-Universal mapping'!$B:$B,MATCH(D145,'Brown-Universal mapping'!$A:$A,0))</f>
        <v>DET</v>
      </c>
      <c r="I145" s="5" t="s">
        <v>7</v>
      </c>
      <c r="J145" s="5" t="str">
        <f>INDEX('Brown tagset'!$B:$B,MATCH(IF(ISERROR(FIND("-",I145)),IF(ISERROR(FIND("+",I145)),I145,LEFT(I145,FIND("+",I145)-1)),LEFT(I145,FIND("-",I145)-1)),'Brown tagset'!$A:$A,0))</f>
        <v>article (a, the, no)</v>
      </c>
      <c r="K145" s="5" t="s">
        <v>2</v>
      </c>
      <c r="L145" s="5" t="str">
        <f>INDEX('Brown-Universal mapping'!$B:$B,MATCH(I145,'Brown-Universal mapping'!$A:$A,0))</f>
        <v>DET</v>
      </c>
      <c r="M145" s="5">
        <f t="shared" si="22"/>
        <v>1</v>
      </c>
      <c r="N145" s="5">
        <f t="shared" si="23"/>
        <v>1</v>
      </c>
      <c r="P145" s="12" t="s">
        <v>90</v>
      </c>
      <c r="Q145" s="7" t="s">
        <v>89</v>
      </c>
      <c r="R145" s="7" t="str">
        <f>INDEX('Brown tagset'!$B:$B,MATCH(IF(ISERROR(FIND("-",Q145)),IF(ISERROR(FIND("+",Q145)),Q145,LEFT(Q145,FIND("+",Q145)-1)),LEFT(Q145,FIND("-",Q145)-1)),'Brown tagset'!$A:$A,0))</f>
        <v>article (a, the, no)</v>
      </c>
      <c r="S145" s="7"/>
      <c r="T145" s="7" t="str">
        <f>INDEX('Brown-Universal mapping'!$B:$B,MATCH(Q145,'Brown-Universal mapping'!$A:$A,0))</f>
        <v>DET</v>
      </c>
      <c r="U145" s="7">
        <f t="shared" si="24"/>
        <v>1</v>
      </c>
      <c r="V145" s="7">
        <f t="shared" si="25"/>
        <v>1</v>
      </c>
      <c r="X145" s="12" t="s">
        <v>90</v>
      </c>
      <c r="Y145" s="7" t="s">
        <v>89</v>
      </c>
      <c r="Z145" s="7" t="str">
        <f>INDEX('Brown tagset'!$B:$B,MATCH(IF(ISERROR(FIND("-",Y145)),IF(ISERROR(FIND("+",Y145)),Y145,LEFT(Y145,FIND("+",Y145)-1)),LEFT(Y145,FIND("-",Y145)-1)),'Brown tagset'!$A:$A,0))</f>
        <v>article (a, the, no)</v>
      </c>
      <c r="AA145" s="7"/>
      <c r="AB145" s="7" t="str">
        <f>INDEX('Brown-Universal mapping'!$B:$B,MATCH(Y145,'Brown-Universal mapping'!$A:$A,0))</f>
        <v>DET</v>
      </c>
      <c r="AC145" s="7">
        <f t="shared" si="17"/>
        <v>1</v>
      </c>
      <c r="AD145" s="7">
        <f t="shared" si="18"/>
        <v>1</v>
      </c>
      <c r="AF145" s="9" t="s">
        <v>7</v>
      </c>
      <c r="AG145" s="9" t="str">
        <f>INDEX('Brown tagset'!$B:$B,MATCH(IF(ISERROR(FIND("-",AF145)),IF(ISERROR(FIND("+",AF145)),AF145,LEFT(AF145,FIND("+",AF145)-1)),LEFT(AF145,FIND("-",AF145)-1)),'Brown tagset'!$A:$A,0))</f>
        <v>article (a, the, no)</v>
      </c>
      <c r="AH145" s="9" t="s">
        <v>2</v>
      </c>
      <c r="AI145" s="9" t="str">
        <f>INDEX('Brown-Universal mapping'!$B:$B,MATCH(AF145,'Brown-Universal mapping'!$A:$A,0))</f>
        <v>DET</v>
      </c>
      <c r="AJ145" s="9">
        <f t="shared" si="26"/>
        <v>1</v>
      </c>
      <c r="AK145" s="9">
        <f t="shared" si="27"/>
        <v>1</v>
      </c>
      <c r="AM145" s="6">
        <f t="shared" si="19"/>
        <v>3</v>
      </c>
      <c r="AN145" s="6">
        <f t="shared" si="20"/>
        <v>3</v>
      </c>
      <c r="AP145" s="6" t="str">
        <f t="shared" si="21"/>
        <v>article (a, the, no)3</v>
      </c>
    </row>
    <row r="146" spans="1:42" x14ac:dyDescent="0.25">
      <c r="A146" s="29" t="s">
        <v>143</v>
      </c>
      <c r="B146" s="29"/>
      <c r="D146" s="3" t="s">
        <v>45</v>
      </c>
      <c r="E146" s="3" t="str">
        <f>INDEX('Brown tagset'!$B:$B,MATCH(IF(ISERROR(FIND("-",D146)),IF(ISERROR(FIND("+",D146)),D146,LEFT(D146,FIND("+",D146)-1)),LEFT(D146,FIND("-",D146)-1)),'Brown tagset'!$A:$A,0))</f>
        <v>adjective</v>
      </c>
      <c r="F146" s="3"/>
      <c r="G146" s="3" t="str">
        <f>INDEX('Brown-Universal mapping'!$B:$B,MATCH(D146,'Brown-Universal mapping'!$A:$A,0))</f>
        <v>ADJ</v>
      </c>
      <c r="I146" s="5" t="s">
        <v>45</v>
      </c>
      <c r="J146" s="5" t="str">
        <f>INDEX('Brown tagset'!$B:$B,MATCH(IF(ISERROR(FIND("-",I146)),IF(ISERROR(FIND("+",I146)),I146,LEFT(I146,FIND("+",I146)-1)),LEFT(I146,FIND("-",I146)-1)),'Brown tagset'!$A:$A,0))</f>
        <v>adjective</v>
      </c>
      <c r="K146" s="5" t="s">
        <v>46</v>
      </c>
      <c r="L146" s="5" t="str">
        <f>INDEX('Brown-Universal mapping'!$B:$B,MATCH(I146,'Brown-Universal mapping'!$A:$A,0))</f>
        <v>ADJ</v>
      </c>
      <c r="M146" s="5">
        <f t="shared" si="22"/>
        <v>1</v>
      </c>
      <c r="N146" s="5">
        <f t="shared" si="23"/>
        <v>1</v>
      </c>
      <c r="P146" s="12" t="s">
        <v>143</v>
      </c>
      <c r="Q146" s="7" t="s">
        <v>299</v>
      </c>
      <c r="R146" s="7" t="str">
        <f>INDEX('Brown tagset'!$B:$B,MATCH(IF(ISERROR(FIND("-",Q146)),IF(ISERROR(FIND("+",Q146)),Q146,LEFT(Q146,FIND("+",Q146)-1)),LEFT(Q146,FIND("-",Q146)-1)),'Brown tagset'!$A:$A,0))</f>
        <v>adjective</v>
      </c>
      <c r="S146" s="7"/>
      <c r="T146" s="7" t="str">
        <f>INDEX('Brown-Universal mapping'!$B:$B,MATCH(Q146,'Brown-Universal mapping'!$A:$A,0))</f>
        <v>ADJ</v>
      </c>
      <c r="U146" s="7">
        <f t="shared" si="24"/>
        <v>1</v>
      </c>
      <c r="V146" s="7">
        <f t="shared" si="25"/>
        <v>1</v>
      </c>
      <c r="X146" s="12" t="s">
        <v>143</v>
      </c>
      <c r="Y146" s="7" t="s">
        <v>299</v>
      </c>
      <c r="Z146" s="7" t="str">
        <f>INDEX('Brown tagset'!$B:$B,MATCH(IF(ISERROR(FIND("-",Y146)),IF(ISERROR(FIND("+",Y146)),Y146,LEFT(Y146,FIND("+",Y146)-1)),LEFT(Y146,FIND("-",Y146)-1)),'Brown tagset'!$A:$A,0))</f>
        <v>adjective</v>
      </c>
      <c r="AA146" s="7"/>
      <c r="AB146" s="7" t="str">
        <f>INDEX('Brown-Universal mapping'!$B:$B,MATCH(Y146,'Brown-Universal mapping'!$A:$A,0))</f>
        <v>ADJ</v>
      </c>
      <c r="AC146" s="7">
        <f t="shared" si="17"/>
        <v>1</v>
      </c>
      <c r="AD146" s="7">
        <f t="shared" si="18"/>
        <v>1</v>
      </c>
      <c r="AF146" s="9" t="s">
        <v>45</v>
      </c>
      <c r="AG146" s="9" t="str">
        <f>INDEX('Brown tagset'!$B:$B,MATCH(IF(ISERROR(FIND("-",AF146)),IF(ISERROR(FIND("+",AF146)),AF146,LEFT(AF146,FIND("+",AF146)-1)),LEFT(AF146,FIND("-",AF146)-1)),'Brown tagset'!$A:$A,0))</f>
        <v>adjective</v>
      </c>
      <c r="AH146" s="9" t="s">
        <v>46</v>
      </c>
      <c r="AI146" s="9" t="str">
        <f>INDEX('Brown-Universal mapping'!$B:$B,MATCH(AF146,'Brown-Universal mapping'!$A:$A,0))</f>
        <v>ADJ</v>
      </c>
      <c r="AJ146" s="9">
        <f t="shared" si="26"/>
        <v>1</v>
      </c>
      <c r="AK146" s="9">
        <f t="shared" si="27"/>
        <v>1</v>
      </c>
      <c r="AM146" s="6">
        <f t="shared" si="19"/>
        <v>3</v>
      </c>
      <c r="AN146" s="6">
        <f t="shared" si="20"/>
        <v>3</v>
      </c>
      <c r="AP146" s="6" t="str">
        <f t="shared" si="21"/>
        <v>adjective3</v>
      </c>
    </row>
    <row r="147" spans="1:42" x14ac:dyDescent="0.25">
      <c r="A147" s="29" t="s">
        <v>144</v>
      </c>
      <c r="B147" s="29"/>
      <c r="D147" s="3" t="s">
        <v>12</v>
      </c>
      <c r="E147" s="3" t="str">
        <f>INDEX('Brown tagset'!$B:$B,MATCH(IF(ISERROR(FIND("-",D147)),IF(ISERROR(FIND("+",D147)),D147,LEFT(D147,FIND("+",D147)-1)),LEFT(D147,FIND("-",D147)-1)),'Brown tagset'!$A:$A,0))</f>
        <v>singular or mass noun</v>
      </c>
      <c r="F147" s="3"/>
      <c r="G147" s="3" t="str">
        <f>INDEX('Brown-Universal mapping'!$B:$B,MATCH(D147,'Brown-Universal mapping'!$A:$A,0))</f>
        <v>NOUN</v>
      </c>
      <c r="I147" s="5" t="s">
        <v>12</v>
      </c>
      <c r="J147" s="5" t="str">
        <f>INDEX('Brown tagset'!$B:$B,MATCH(IF(ISERROR(FIND("-",I147)),IF(ISERROR(FIND("+",I147)),I147,LEFT(I147,FIND("+",I147)-1)),LEFT(I147,FIND("-",I147)-1)),'Brown tagset'!$A:$A,0))</f>
        <v>singular or mass noun</v>
      </c>
      <c r="K147" s="5" t="s">
        <v>13</v>
      </c>
      <c r="L147" s="5" t="str">
        <f>INDEX('Brown-Universal mapping'!$B:$B,MATCH(I147,'Brown-Universal mapping'!$A:$A,0))</f>
        <v>NOUN</v>
      </c>
      <c r="M147" s="5">
        <f t="shared" si="22"/>
        <v>1</v>
      </c>
      <c r="N147" s="5">
        <f t="shared" si="23"/>
        <v>1</v>
      </c>
      <c r="P147" s="12" t="s">
        <v>144</v>
      </c>
      <c r="Q147" s="7" t="s">
        <v>289</v>
      </c>
      <c r="R147" s="7" t="str">
        <f>INDEX('Brown tagset'!$B:$B,MATCH(IF(ISERROR(FIND("-",Q147)),IF(ISERROR(FIND("+",Q147)),Q147,LEFT(Q147,FIND("+",Q147)-1)),LEFT(Q147,FIND("-",Q147)-1)),'Brown tagset'!$A:$A,0))</f>
        <v>singular or mass noun</v>
      </c>
      <c r="S147" s="7"/>
      <c r="T147" s="7" t="str">
        <f>INDEX('Brown-Universal mapping'!$B:$B,MATCH(Q147,'Brown-Universal mapping'!$A:$A,0))</f>
        <v>NOUN</v>
      </c>
      <c r="U147" s="7">
        <f t="shared" si="24"/>
        <v>1</v>
      </c>
      <c r="V147" s="7">
        <f t="shared" si="25"/>
        <v>1</v>
      </c>
      <c r="X147" s="12" t="s">
        <v>144</v>
      </c>
      <c r="Y147" s="7" t="s">
        <v>289</v>
      </c>
      <c r="Z147" s="7" t="str">
        <f>INDEX('Brown tagset'!$B:$B,MATCH(IF(ISERROR(FIND("-",Y147)),IF(ISERROR(FIND("+",Y147)),Y147,LEFT(Y147,FIND("+",Y147)-1)),LEFT(Y147,FIND("-",Y147)-1)),'Brown tagset'!$A:$A,0))</f>
        <v>singular or mass noun</v>
      </c>
      <c r="AA147" s="7"/>
      <c r="AB147" s="7" t="str">
        <f>INDEX('Brown-Universal mapping'!$B:$B,MATCH(Y147,'Brown-Universal mapping'!$A:$A,0))</f>
        <v>NOUN</v>
      </c>
      <c r="AC147" s="7">
        <f t="shared" si="17"/>
        <v>1</v>
      </c>
      <c r="AD147" s="7">
        <f t="shared" si="18"/>
        <v>1</v>
      </c>
      <c r="AF147" s="9" t="s">
        <v>12</v>
      </c>
      <c r="AG147" s="9" t="str">
        <f>INDEX('Brown tagset'!$B:$B,MATCH(IF(ISERROR(FIND("-",AF147)),IF(ISERROR(FIND("+",AF147)),AF147,LEFT(AF147,FIND("+",AF147)-1)),LEFT(AF147,FIND("-",AF147)-1)),'Brown tagset'!$A:$A,0))</f>
        <v>singular or mass noun</v>
      </c>
      <c r="AH147" s="9" t="s">
        <v>13</v>
      </c>
      <c r="AI147" s="9" t="str">
        <f>INDEX('Brown-Universal mapping'!$B:$B,MATCH(AF147,'Brown-Universal mapping'!$A:$A,0))</f>
        <v>NOUN</v>
      </c>
      <c r="AJ147" s="9">
        <f t="shared" si="26"/>
        <v>1</v>
      </c>
      <c r="AK147" s="9">
        <f t="shared" si="27"/>
        <v>1</v>
      </c>
      <c r="AM147" s="6">
        <f t="shared" si="19"/>
        <v>3</v>
      </c>
      <c r="AN147" s="6">
        <f t="shared" si="20"/>
        <v>3</v>
      </c>
      <c r="AP147" s="6" t="str">
        <f t="shared" si="21"/>
        <v>singular or mass noun3</v>
      </c>
    </row>
    <row r="148" spans="1:42" x14ac:dyDescent="0.25">
      <c r="A148" s="29" t="s">
        <v>145</v>
      </c>
      <c r="B148" s="29"/>
      <c r="D148" s="3" t="s">
        <v>146</v>
      </c>
      <c r="E148" s="3" t="str">
        <f>INDEX('Brown tagset'!$B:$B,MATCH(IF(ISERROR(FIND("-",D148)),IF(ISERROR(FIND("+",D148)),D148,LEFT(D148,FIND("+",D148)-1)),LEFT(D148,FIND("-",D148)-1)),'Brown tagset'!$A:$A,0))</f>
        <v>is</v>
      </c>
      <c r="F148" s="3"/>
      <c r="G148" s="3" t="str">
        <f>INDEX('Brown-Universal mapping'!$B:$B,MATCH(D148,'Brown-Universal mapping'!$A:$A,0))</f>
        <v>VERB</v>
      </c>
      <c r="I148" s="5" t="s">
        <v>146</v>
      </c>
      <c r="J148" s="5" t="str">
        <f>INDEX('Brown tagset'!$B:$B,MATCH(IF(ISERROR(FIND("-",I148)),IF(ISERROR(FIND("+",I148)),I148,LEFT(I148,FIND("+",I148)-1)),LEFT(I148,FIND("-",I148)-1)),'Brown tagset'!$A:$A,0))</f>
        <v>is</v>
      </c>
      <c r="K148" s="5" t="s">
        <v>2</v>
      </c>
      <c r="L148" s="5" t="str">
        <f>INDEX('Brown-Universal mapping'!$B:$B,MATCH(I148,'Brown-Universal mapping'!$A:$A,0))</f>
        <v>VERB</v>
      </c>
      <c r="M148" s="5">
        <f t="shared" si="22"/>
        <v>1</v>
      </c>
      <c r="N148" s="5">
        <f t="shared" si="23"/>
        <v>1</v>
      </c>
      <c r="P148" s="12" t="s">
        <v>145</v>
      </c>
      <c r="Q148" s="7" t="s">
        <v>321</v>
      </c>
      <c r="R148" s="7" t="str">
        <f>INDEX('Brown tagset'!$B:$B,MATCH(IF(ISERROR(FIND("-",Q148)),IF(ISERROR(FIND("+",Q148)),Q148,LEFT(Q148,FIND("+",Q148)-1)),LEFT(Q148,FIND("-",Q148)-1)),'Brown tagset'!$A:$A,0))</f>
        <v>is</v>
      </c>
      <c r="S148" s="7"/>
      <c r="T148" s="7" t="str">
        <f>INDEX('Brown-Universal mapping'!$B:$B,MATCH(Q148,'Brown-Universal mapping'!$A:$A,0))</f>
        <v>VERB</v>
      </c>
      <c r="U148" s="7">
        <f t="shared" si="24"/>
        <v>1</v>
      </c>
      <c r="V148" s="7">
        <f t="shared" si="25"/>
        <v>1</v>
      </c>
      <c r="X148" s="12" t="s">
        <v>145</v>
      </c>
      <c r="Y148" s="7" t="s">
        <v>321</v>
      </c>
      <c r="Z148" s="7" t="str">
        <f>INDEX('Brown tagset'!$B:$B,MATCH(IF(ISERROR(FIND("-",Y148)),IF(ISERROR(FIND("+",Y148)),Y148,LEFT(Y148,FIND("+",Y148)-1)),LEFT(Y148,FIND("-",Y148)-1)),'Brown tagset'!$A:$A,0))</f>
        <v>is</v>
      </c>
      <c r="AA148" s="7"/>
      <c r="AB148" s="7" t="str">
        <f>INDEX('Brown-Universal mapping'!$B:$B,MATCH(Y148,'Brown-Universal mapping'!$A:$A,0))</f>
        <v>VERB</v>
      </c>
      <c r="AC148" s="7">
        <f t="shared" si="17"/>
        <v>1</v>
      </c>
      <c r="AD148" s="7">
        <f t="shared" si="18"/>
        <v>1</v>
      </c>
      <c r="AF148" s="9" t="s">
        <v>146</v>
      </c>
      <c r="AG148" s="9" t="str">
        <f>INDEX('Brown tagset'!$B:$B,MATCH(IF(ISERROR(FIND("-",AF148)),IF(ISERROR(FIND("+",AF148)),AF148,LEFT(AF148,FIND("+",AF148)-1)),LEFT(AF148,FIND("-",AF148)-1)),'Brown tagset'!$A:$A,0))</f>
        <v>is</v>
      </c>
      <c r="AH148" s="9" t="s">
        <v>2</v>
      </c>
      <c r="AI148" s="9" t="str">
        <f>INDEX('Brown-Universal mapping'!$B:$B,MATCH(AF148,'Brown-Universal mapping'!$A:$A,0))</f>
        <v>VERB</v>
      </c>
      <c r="AJ148" s="9">
        <f t="shared" si="26"/>
        <v>1</v>
      </c>
      <c r="AK148" s="9">
        <f t="shared" si="27"/>
        <v>1</v>
      </c>
      <c r="AM148" s="6">
        <f t="shared" si="19"/>
        <v>3</v>
      </c>
      <c r="AN148" s="6">
        <f t="shared" si="20"/>
        <v>3</v>
      </c>
      <c r="AP148" s="6" t="str">
        <f t="shared" si="21"/>
        <v>is3</v>
      </c>
    </row>
    <row r="149" spans="1:42" x14ac:dyDescent="0.25">
      <c r="A149" s="29" t="s">
        <v>147</v>
      </c>
      <c r="B149" s="29"/>
      <c r="D149" s="3" t="s">
        <v>22</v>
      </c>
      <c r="E149" s="3" t="str">
        <f>INDEX('Brown tagset'!$B:$B,MATCH(IF(ISERROR(FIND("-",D149)),IF(ISERROR(FIND("+",D149)),D149,LEFT(D149,FIND("+",D149)-1)),LEFT(D149,FIND("-",D149)-1)),'Brown tagset'!$A:$A,0))</f>
        <v>possessive personal pronoun (my, our)</v>
      </c>
      <c r="F149" s="3"/>
      <c r="G149" s="3" t="str">
        <f>INDEX('Brown-Universal mapping'!$B:$B,MATCH(D149,'Brown-Universal mapping'!$A:$A,0))</f>
        <v>DET</v>
      </c>
      <c r="I149" s="5" t="s">
        <v>22</v>
      </c>
      <c r="J149" s="5" t="str">
        <f>INDEX('Brown tagset'!$B:$B,MATCH(IF(ISERROR(FIND("-",I149)),IF(ISERROR(FIND("+",I149)),I149,LEFT(I149,FIND("+",I149)-1)),LEFT(I149,FIND("-",I149)-1)),'Brown tagset'!$A:$A,0))</f>
        <v>possessive personal pronoun (my, our)</v>
      </c>
      <c r="K149" s="5" t="s">
        <v>2</v>
      </c>
      <c r="L149" s="5" t="str">
        <f>INDEX('Brown-Universal mapping'!$B:$B,MATCH(I149,'Brown-Universal mapping'!$A:$A,0))</f>
        <v>DET</v>
      </c>
      <c r="M149" s="5">
        <f t="shared" si="22"/>
        <v>1</v>
      </c>
      <c r="N149" s="5">
        <f t="shared" si="23"/>
        <v>1</v>
      </c>
      <c r="P149" s="12" t="s">
        <v>147</v>
      </c>
      <c r="Q149" s="7" t="s">
        <v>291</v>
      </c>
      <c r="R149" s="7" t="str">
        <f>INDEX('Brown tagset'!$B:$B,MATCH(IF(ISERROR(FIND("-",Q149)),IF(ISERROR(FIND("+",Q149)),Q149,LEFT(Q149,FIND("+",Q149)-1)),LEFT(Q149,FIND("-",Q149)-1)),'Brown tagset'!$A:$A,0))</f>
        <v>possessive personal pronoun (my, our)</v>
      </c>
      <c r="S149" s="7"/>
      <c r="T149" s="7" t="str">
        <f>INDEX('Brown-Universal mapping'!$B:$B,MATCH(Q149,'Brown-Universal mapping'!$A:$A,0))</f>
        <v>DET</v>
      </c>
      <c r="U149" s="7">
        <f t="shared" si="24"/>
        <v>1</v>
      </c>
      <c r="V149" s="7">
        <f t="shared" si="25"/>
        <v>1</v>
      </c>
      <c r="X149" s="12" t="s">
        <v>147</v>
      </c>
      <c r="Y149" s="7" t="s">
        <v>291</v>
      </c>
      <c r="Z149" s="7" t="str">
        <f>INDEX('Brown tagset'!$B:$B,MATCH(IF(ISERROR(FIND("-",Y149)),IF(ISERROR(FIND("+",Y149)),Y149,LEFT(Y149,FIND("+",Y149)-1)),LEFT(Y149,FIND("-",Y149)-1)),'Brown tagset'!$A:$A,0))</f>
        <v>possessive personal pronoun (my, our)</v>
      </c>
      <c r="AA149" s="7"/>
      <c r="AB149" s="7" t="str">
        <f>INDEX('Brown-Universal mapping'!$B:$B,MATCH(Y149,'Brown-Universal mapping'!$A:$A,0))</f>
        <v>DET</v>
      </c>
      <c r="AC149" s="7">
        <f t="shared" ref="AC149:AC212" si="28">IF(Y149=$D149,1,0)</f>
        <v>1</v>
      </c>
      <c r="AD149" s="7">
        <f t="shared" ref="AD149:AD212" si="29">IF(AB149=$G149,1,0)</f>
        <v>1</v>
      </c>
      <c r="AF149" s="9" t="s">
        <v>22</v>
      </c>
      <c r="AG149" s="9" t="str">
        <f>INDEX('Brown tagset'!$B:$B,MATCH(IF(ISERROR(FIND("-",AF149)),IF(ISERROR(FIND("+",AF149)),AF149,LEFT(AF149,FIND("+",AF149)-1)),LEFT(AF149,FIND("-",AF149)-1)),'Brown tagset'!$A:$A,0))</f>
        <v>possessive personal pronoun (my, our)</v>
      </c>
      <c r="AH149" s="9" t="s">
        <v>2</v>
      </c>
      <c r="AI149" s="9" t="str">
        <f>INDEX('Brown-Universal mapping'!$B:$B,MATCH(AF149,'Brown-Universal mapping'!$A:$A,0))</f>
        <v>DET</v>
      </c>
      <c r="AJ149" s="9">
        <f t="shared" si="26"/>
        <v>1</v>
      </c>
      <c r="AK149" s="9">
        <f t="shared" si="27"/>
        <v>1</v>
      </c>
      <c r="AM149" s="6">
        <f t="shared" ref="AM149:AM212" si="30">M149+AC149+AJ149</f>
        <v>3</v>
      </c>
      <c r="AN149" s="6">
        <f t="shared" ref="AN149:AN212" si="31">N149+AD149+AK149</f>
        <v>3</v>
      </c>
      <c r="AP149" s="6" t="str">
        <f t="shared" ref="AP149:AP212" si="32">AG149&amp;AM149</f>
        <v>possessive personal pronoun (my, our)3</v>
      </c>
    </row>
    <row r="150" spans="1:42" x14ac:dyDescent="0.25">
      <c r="A150" s="29" t="s">
        <v>148</v>
      </c>
      <c r="B150" s="29"/>
      <c r="D150" s="3" t="s">
        <v>45</v>
      </c>
      <c r="E150" s="3" t="str">
        <f>INDEX('Brown tagset'!$B:$B,MATCH(IF(ISERROR(FIND("-",D150)),IF(ISERROR(FIND("+",D150)),D150,LEFT(D150,FIND("+",D150)-1)),LEFT(D150,FIND("-",D150)-1)),'Brown tagset'!$A:$A,0))</f>
        <v>adjective</v>
      </c>
      <c r="F150" s="3"/>
      <c r="G150" s="3" t="str">
        <f>INDEX('Brown-Universal mapping'!$B:$B,MATCH(D150,'Brown-Universal mapping'!$A:$A,0))</f>
        <v>ADJ</v>
      </c>
      <c r="I150" s="5" t="s">
        <v>45</v>
      </c>
      <c r="J150" s="5" t="str">
        <f>INDEX('Brown tagset'!$B:$B,MATCH(IF(ISERROR(FIND("-",I150)),IF(ISERROR(FIND("+",I150)),I150,LEFT(I150,FIND("+",I150)-1)),LEFT(I150,FIND("-",I150)-1)),'Brown tagset'!$A:$A,0))</f>
        <v>adjective</v>
      </c>
      <c r="K150" s="5" t="s">
        <v>46</v>
      </c>
      <c r="L150" s="5" t="str">
        <f>INDEX('Brown-Universal mapping'!$B:$B,MATCH(I150,'Brown-Universal mapping'!$A:$A,0))</f>
        <v>ADJ</v>
      </c>
      <c r="M150" s="5">
        <f t="shared" si="22"/>
        <v>1</v>
      </c>
      <c r="N150" s="5">
        <f t="shared" si="23"/>
        <v>1</v>
      </c>
      <c r="P150" s="12" t="s">
        <v>148</v>
      </c>
      <c r="Q150" s="7" t="s">
        <v>299</v>
      </c>
      <c r="R150" s="7" t="str">
        <f>INDEX('Brown tagset'!$B:$B,MATCH(IF(ISERROR(FIND("-",Q150)),IF(ISERROR(FIND("+",Q150)),Q150,LEFT(Q150,FIND("+",Q150)-1)),LEFT(Q150,FIND("-",Q150)-1)),'Brown tagset'!$A:$A,0))</f>
        <v>adjective</v>
      </c>
      <c r="S150" s="7"/>
      <c r="T150" s="7" t="str">
        <f>INDEX('Brown-Universal mapping'!$B:$B,MATCH(Q150,'Brown-Universal mapping'!$A:$A,0))</f>
        <v>ADJ</v>
      </c>
      <c r="U150" s="7">
        <f t="shared" si="24"/>
        <v>1</v>
      </c>
      <c r="V150" s="7">
        <f t="shared" si="25"/>
        <v>1</v>
      </c>
      <c r="X150" s="12" t="s">
        <v>148</v>
      </c>
      <c r="Y150" s="7" t="s">
        <v>299</v>
      </c>
      <c r="Z150" s="7" t="str">
        <f>INDEX('Brown tagset'!$B:$B,MATCH(IF(ISERROR(FIND("-",Y150)),IF(ISERROR(FIND("+",Y150)),Y150,LEFT(Y150,FIND("+",Y150)-1)),LEFT(Y150,FIND("-",Y150)-1)),'Brown tagset'!$A:$A,0))</f>
        <v>adjective</v>
      </c>
      <c r="AA150" s="7"/>
      <c r="AB150" s="7" t="str">
        <f>INDEX('Brown-Universal mapping'!$B:$B,MATCH(Y150,'Brown-Universal mapping'!$A:$A,0))</f>
        <v>ADJ</v>
      </c>
      <c r="AC150" s="7">
        <f t="shared" si="28"/>
        <v>1</v>
      </c>
      <c r="AD150" s="7">
        <f t="shared" si="29"/>
        <v>1</v>
      </c>
      <c r="AF150" s="9" t="s">
        <v>45</v>
      </c>
      <c r="AG150" s="9" t="str">
        <f>INDEX('Brown tagset'!$B:$B,MATCH(IF(ISERROR(FIND("-",AF150)),IF(ISERROR(FIND("+",AF150)),AF150,LEFT(AF150,FIND("+",AF150)-1)),LEFT(AF150,FIND("-",AF150)-1)),'Brown tagset'!$A:$A,0))</f>
        <v>adjective</v>
      </c>
      <c r="AH150" s="9" t="s">
        <v>46</v>
      </c>
      <c r="AI150" s="9" t="str">
        <f>INDEX('Brown-Universal mapping'!$B:$B,MATCH(AF150,'Brown-Universal mapping'!$A:$A,0))</f>
        <v>ADJ</v>
      </c>
      <c r="AJ150" s="9">
        <f t="shared" si="26"/>
        <v>1</v>
      </c>
      <c r="AK150" s="9">
        <f t="shared" si="27"/>
        <v>1</v>
      </c>
      <c r="AM150" s="6">
        <f t="shared" si="30"/>
        <v>3</v>
      </c>
      <c r="AN150" s="6">
        <f t="shared" si="31"/>
        <v>3</v>
      </c>
      <c r="AP150" s="6" t="str">
        <f t="shared" si="32"/>
        <v>adjective3</v>
      </c>
    </row>
    <row r="151" spans="1:42" x14ac:dyDescent="0.25">
      <c r="A151" s="4" t="s">
        <v>149</v>
      </c>
      <c r="D151" s="3" t="s">
        <v>66</v>
      </c>
      <c r="E151" s="3" t="str">
        <f>INDEX('Brown tagset'!$B:$B,MATCH(IF(ISERROR(FIND("-",D151)),IF(ISERROR(FIND("+",D151)),D151,LEFT(D151,FIND("+",D151)-1)),LEFT(D151,FIND("-",D151)-1)),'Brown tagset'!$A:$A,0))</f>
        <v>proper noun or part of name phrase</v>
      </c>
      <c r="F151" s="3"/>
      <c r="G151" s="3" t="str">
        <f>INDEX('Brown-Universal mapping'!$B:$B,MATCH(D151,'Brown-Universal mapping'!$A:$A,0))</f>
        <v>NOUN</v>
      </c>
      <c r="I151" s="5" t="s">
        <v>150</v>
      </c>
      <c r="J151" s="5" t="str">
        <f>INDEX('Brown tagset'!$B:$B,MATCH(IF(ISERROR(FIND("-",I151)),IF(ISERROR(FIND("+",I151)),I151,LEFT(I151,FIND("+",I151)-1)),LEFT(I151,FIND("-",I151)-1)),'Brown tagset'!$A:$A,0))</f>
        <v>adjective</v>
      </c>
      <c r="K151" s="5" t="s">
        <v>2</v>
      </c>
      <c r="L151" s="5" t="str">
        <f>INDEX('Brown-Universal mapping'!$B:$B,MATCH(I151,'Brown-Universal mapping'!$A:$A,0))</f>
        <v>ADJ</v>
      </c>
      <c r="M151" s="5">
        <f t="shared" si="22"/>
        <v>0</v>
      </c>
      <c r="N151" s="5">
        <f t="shared" si="23"/>
        <v>0</v>
      </c>
      <c r="P151" s="12" t="s">
        <v>149</v>
      </c>
      <c r="Q151" s="7" t="s">
        <v>322</v>
      </c>
      <c r="R151" s="7" t="str">
        <f>INDEX('Brown tagset'!$B:$B,MATCH(IF(ISERROR(FIND("-",Q151)),IF(ISERROR(FIND("+",Q151)),Q151,LEFT(Q151,FIND("+",Q151)-1)),LEFT(Q151,FIND("-",Q151)-1)),'Brown tagset'!$A:$A,0))</f>
        <v>adjective</v>
      </c>
      <c r="S151" s="7"/>
      <c r="T151" s="7" t="str">
        <f>INDEX('Brown-Universal mapping'!$B:$B,MATCH(Q151,'Brown-Universal mapping'!$A:$A,0))</f>
        <v>ADJ</v>
      </c>
      <c r="U151" s="7">
        <f t="shared" si="24"/>
        <v>0</v>
      </c>
      <c r="V151" s="7">
        <f t="shared" si="25"/>
        <v>0</v>
      </c>
      <c r="X151" s="12" t="s">
        <v>149</v>
      </c>
      <c r="Y151" s="7" t="s">
        <v>322</v>
      </c>
      <c r="Z151" s="7" t="str">
        <f>INDEX('Brown tagset'!$B:$B,MATCH(IF(ISERROR(FIND("-",Y151)),IF(ISERROR(FIND("+",Y151)),Y151,LEFT(Y151,FIND("+",Y151)-1)),LEFT(Y151,FIND("-",Y151)-1)),'Brown tagset'!$A:$A,0))</f>
        <v>adjective</v>
      </c>
      <c r="AA151" s="7"/>
      <c r="AB151" s="7" t="str">
        <f>INDEX('Brown-Universal mapping'!$B:$B,MATCH(Y151,'Brown-Universal mapping'!$A:$A,0))</f>
        <v>ADJ</v>
      </c>
      <c r="AC151" s="7">
        <f t="shared" si="28"/>
        <v>0</v>
      </c>
      <c r="AD151" s="7">
        <f t="shared" si="29"/>
        <v>0</v>
      </c>
      <c r="AF151" s="9" t="s">
        <v>150</v>
      </c>
      <c r="AG151" s="9" t="str">
        <f>INDEX('Brown tagset'!$B:$B,MATCH(IF(ISERROR(FIND("-",AF151)),IF(ISERROR(FIND("+",AF151)),AF151,LEFT(AF151,FIND("+",AF151)-1)),LEFT(AF151,FIND("-",AF151)-1)),'Brown tagset'!$A:$A,0))</f>
        <v>adjective</v>
      </c>
      <c r="AH151" s="9" t="s">
        <v>2</v>
      </c>
      <c r="AI151" s="9" t="str">
        <f>INDEX('Brown-Universal mapping'!$B:$B,MATCH(AF151,'Brown-Universal mapping'!$A:$A,0))</f>
        <v>ADJ</v>
      </c>
      <c r="AJ151" s="9">
        <f t="shared" si="26"/>
        <v>0</v>
      </c>
      <c r="AK151" s="9">
        <f t="shared" si="27"/>
        <v>0</v>
      </c>
      <c r="AM151" s="6">
        <f t="shared" si="30"/>
        <v>0</v>
      </c>
      <c r="AN151" s="6">
        <f t="shared" si="31"/>
        <v>0</v>
      </c>
      <c r="AP151" s="6" t="str">
        <f t="shared" si="32"/>
        <v>adjective0</v>
      </c>
    </row>
    <row r="152" spans="1:42" x14ac:dyDescent="0.25">
      <c r="A152" s="29" t="s">
        <v>70</v>
      </c>
      <c r="B152" s="29"/>
      <c r="D152" s="3" t="s">
        <v>66</v>
      </c>
      <c r="E152" s="3" t="str">
        <f>INDEX('Brown tagset'!$B:$B,MATCH(IF(ISERROR(FIND("-",D152)),IF(ISERROR(FIND("+",D152)),D152,LEFT(D152,FIND("+",D152)-1)),LEFT(D152,FIND("-",D152)-1)),'Brown tagset'!$A:$A,0))</f>
        <v>proper noun or part of name phrase</v>
      </c>
      <c r="F152" s="3"/>
      <c r="G152" s="3" t="str">
        <f>INDEX('Brown-Universal mapping'!$B:$B,MATCH(D152,'Brown-Universal mapping'!$A:$A,0))</f>
        <v>NOUN</v>
      </c>
      <c r="I152" s="5" t="s">
        <v>66</v>
      </c>
      <c r="J152" s="5" t="str">
        <f>INDEX('Brown tagset'!$B:$B,MATCH(IF(ISERROR(FIND("-",I152)),IF(ISERROR(FIND("+",I152)),I152,LEFT(I152,FIND("+",I152)-1)),LEFT(I152,FIND("-",I152)-1)),'Brown tagset'!$A:$A,0))</f>
        <v>proper noun or part of name phrase</v>
      </c>
      <c r="K152" s="5" t="s">
        <v>13</v>
      </c>
      <c r="L152" s="5" t="str">
        <f>INDEX('Brown-Universal mapping'!$B:$B,MATCH(I152,'Brown-Universal mapping'!$A:$A,0))</f>
        <v>NOUN</v>
      </c>
      <c r="M152" s="5">
        <f t="shared" si="22"/>
        <v>1</v>
      </c>
      <c r="N152" s="5">
        <f t="shared" si="23"/>
        <v>1</v>
      </c>
      <c r="P152" s="12" t="s">
        <v>70</v>
      </c>
      <c r="Q152" s="7" t="s">
        <v>287</v>
      </c>
      <c r="R152" s="7" t="str">
        <f>INDEX('Brown tagset'!$B:$B,MATCH(IF(ISERROR(FIND("-",Q152)),IF(ISERROR(FIND("+",Q152)),Q152,LEFT(Q152,FIND("+",Q152)-1)),LEFT(Q152,FIND("-",Q152)-1)),'Brown tagset'!$A:$A,0))</f>
        <v>proper noun or part of name phrase</v>
      </c>
      <c r="S152" s="7"/>
      <c r="T152" s="7" t="str">
        <f>INDEX('Brown-Universal mapping'!$B:$B,MATCH(Q152,'Brown-Universal mapping'!$A:$A,0))</f>
        <v>NOUN</v>
      </c>
      <c r="U152" s="7">
        <f t="shared" si="24"/>
        <v>1</v>
      </c>
      <c r="V152" s="7">
        <f t="shared" si="25"/>
        <v>1</v>
      </c>
      <c r="X152" s="12" t="s">
        <v>70</v>
      </c>
      <c r="Y152" s="7" t="s">
        <v>287</v>
      </c>
      <c r="Z152" s="7" t="str">
        <f>INDEX('Brown tagset'!$B:$B,MATCH(IF(ISERROR(FIND("-",Y152)),IF(ISERROR(FIND("+",Y152)),Y152,LEFT(Y152,FIND("+",Y152)-1)),LEFT(Y152,FIND("-",Y152)-1)),'Brown tagset'!$A:$A,0))</f>
        <v>proper noun or part of name phrase</v>
      </c>
      <c r="AA152" s="7"/>
      <c r="AB152" s="7" t="str">
        <f>INDEX('Brown-Universal mapping'!$B:$B,MATCH(Y152,'Brown-Universal mapping'!$A:$A,0))</f>
        <v>NOUN</v>
      </c>
      <c r="AC152" s="7">
        <f t="shared" si="28"/>
        <v>1</v>
      </c>
      <c r="AD152" s="7">
        <f t="shared" si="29"/>
        <v>1</v>
      </c>
      <c r="AF152" s="9" t="s">
        <v>66</v>
      </c>
      <c r="AG152" s="9" t="str">
        <f>INDEX('Brown tagset'!$B:$B,MATCH(IF(ISERROR(FIND("-",AF152)),IF(ISERROR(FIND("+",AF152)),AF152,LEFT(AF152,FIND("+",AF152)-1)),LEFT(AF152,FIND("-",AF152)-1)),'Brown tagset'!$A:$A,0))</f>
        <v>proper noun or part of name phrase</v>
      </c>
      <c r="AH152" s="9" t="s">
        <v>13</v>
      </c>
      <c r="AI152" s="9" t="str">
        <f>INDEX('Brown-Universal mapping'!$B:$B,MATCH(AF152,'Brown-Universal mapping'!$A:$A,0))</f>
        <v>NOUN</v>
      </c>
      <c r="AJ152" s="9">
        <f t="shared" si="26"/>
        <v>1</v>
      </c>
      <c r="AK152" s="9">
        <f t="shared" si="27"/>
        <v>1</v>
      </c>
      <c r="AM152" s="6">
        <f t="shared" si="30"/>
        <v>3</v>
      </c>
      <c r="AN152" s="6">
        <f t="shared" si="31"/>
        <v>3</v>
      </c>
      <c r="AP152" s="6" t="str">
        <f t="shared" si="32"/>
        <v>proper noun or part of name phrase3</v>
      </c>
    </row>
    <row r="153" spans="1:42" x14ac:dyDescent="0.25">
      <c r="A153" s="29" t="s">
        <v>151</v>
      </c>
      <c r="B153" s="29"/>
      <c r="D153" s="3" t="s">
        <v>66</v>
      </c>
      <c r="E153" s="3" t="str">
        <f>INDEX('Brown tagset'!$B:$B,MATCH(IF(ISERROR(FIND("-",D153)),IF(ISERROR(FIND("+",D153)),D153,LEFT(D153,FIND("+",D153)-1)),LEFT(D153,FIND("-",D153)-1)),'Brown tagset'!$A:$A,0))</f>
        <v>proper noun or part of name phrase</v>
      </c>
      <c r="F153" s="3"/>
      <c r="G153" s="3" t="str">
        <f>INDEX('Brown-Universal mapping'!$B:$B,MATCH(D153,'Brown-Universal mapping'!$A:$A,0))</f>
        <v>NOUN</v>
      </c>
      <c r="I153" s="5" t="s">
        <v>66</v>
      </c>
      <c r="J153" s="5" t="str">
        <f>INDEX('Brown tagset'!$B:$B,MATCH(IF(ISERROR(FIND("-",I153)),IF(ISERROR(FIND("+",I153)),I153,LEFT(I153,FIND("+",I153)-1)),LEFT(I153,FIND("-",I153)-1)),'Brown tagset'!$A:$A,0))</f>
        <v>proper noun or part of name phrase</v>
      </c>
      <c r="K153" s="5" t="s">
        <v>13</v>
      </c>
      <c r="L153" s="5" t="str">
        <f>INDEX('Brown-Universal mapping'!$B:$B,MATCH(I153,'Brown-Universal mapping'!$A:$A,0))</f>
        <v>NOUN</v>
      </c>
      <c r="M153" s="5">
        <f t="shared" si="22"/>
        <v>1</v>
      </c>
      <c r="N153" s="5">
        <f t="shared" si="23"/>
        <v>1</v>
      </c>
      <c r="P153" s="12" t="s">
        <v>151</v>
      </c>
      <c r="Q153" s="7" t="s">
        <v>287</v>
      </c>
      <c r="R153" s="7" t="str">
        <f>INDEX('Brown tagset'!$B:$B,MATCH(IF(ISERROR(FIND("-",Q153)),IF(ISERROR(FIND("+",Q153)),Q153,LEFT(Q153,FIND("+",Q153)-1)),LEFT(Q153,FIND("-",Q153)-1)),'Brown tagset'!$A:$A,0))</f>
        <v>proper noun or part of name phrase</v>
      </c>
      <c r="S153" s="7"/>
      <c r="T153" s="7" t="str">
        <f>INDEX('Brown-Universal mapping'!$B:$B,MATCH(Q153,'Brown-Universal mapping'!$A:$A,0))</f>
        <v>NOUN</v>
      </c>
      <c r="U153" s="7">
        <f t="shared" si="24"/>
        <v>1</v>
      </c>
      <c r="V153" s="7">
        <f t="shared" si="25"/>
        <v>1</v>
      </c>
      <c r="X153" s="12" t="s">
        <v>151</v>
      </c>
      <c r="Y153" s="7" t="s">
        <v>287</v>
      </c>
      <c r="Z153" s="7" t="str">
        <f>INDEX('Brown tagset'!$B:$B,MATCH(IF(ISERROR(FIND("-",Y153)),IF(ISERROR(FIND("+",Y153)),Y153,LEFT(Y153,FIND("+",Y153)-1)),LEFT(Y153,FIND("-",Y153)-1)),'Brown tagset'!$A:$A,0))</f>
        <v>proper noun or part of name phrase</v>
      </c>
      <c r="AA153" s="7"/>
      <c r="AB153" s="7" t="str">
        <f>INDEX('Brown-Universal mapping'!$B:$B,MATCH(Y153,'Brown-Universal mapping'!$A:$A,0))</f>
        <v>NOUN</v>
      </c>
      <c r="AC153" s="7">
        <f t="shared" si="28"/>
        <v>1</v>
      </c>
      <c r="AD153" s="7">
        <f t="shared" si="29"/>
        <v>1</v>
      </c>
      <c r="AF153" s="9" t="s">
        <v>66</v>
      </c>
      <c r="AG153" s="9" t="str">
        <f>INDEX('Brown tagset'!$B:$B,MATCH(IF(ISERROR(FIND("-",AF153)),IF(ISERROR(FIND("+",AF153)),AF153,LEFT(AF153,FIND("+",AF153)-1)),LEFT(AF153,FIND("-",AF153)-1)),'Brown tagset'!$A:$A,0))</f>
        <v>proper noun or part of name phrase</v>
      </c>
      <c r="AH153" s="9" t="s">
        <v>13</v>
      </c>
      <c r="AI153" s="9" t="str">
        <f>INDEX('Brown-Universal mapping'!$B:$B,MATCH(AF153,'Brown-Universal mapping'!$A:$A,0))</f>
        <v>NOUN</v>
      </c>
      <c r="AJ153" s="9">
        <f t="shared" si="26"/>
        <v>1</v>
      </c>
      <c r="AK153" s="9">
        <f t="shared" si="27"/>
        <v>1</v>
      </c>
      <c r="AM153" s="6">
        <f t="shared" si="30"/>
        <v>3</v>
      </c>
      <c r="AN153" s="6">
        <f t="shared" si="31"/>
        <v>3</v>
      </c>
      <c r="AP153" s="6" t="str">
        <f t="shared" si="32"/>
        <v>proper noun or part of name phrase3</v>
      </c>
    </row>
    <row r="154" spans="1:42" x14ac:dyDescent="0.25">
      <c r="A154" s="29" t="s">
        <v>152</v>
      </c>
      <c r="B154" s="29"/>
      <c r="D154" s="3" t="s">
        <v>152</v>
      </c>
      <c r="E154" s="3" t="e">
        <f>INDEX('Brown tagset'!$B:$B,MATCH(IF(ISERROR(FIND("-",D154)),IF(ISERROR(FIND("+",D154)),D154,LEFT(D154,FIND("+",D154)-1)),LEFT(D154,FIND("-",D154)-1)),'Brown tagset'!$A:$A,0))</f>
        <v>#N/A</v>
      </c>
      <c r="F154" s="3"/>
      <c r="G154" s="3" t="str">
        <f>INDEX('Brown-Universal mapping'!$B:$B,MATCH(D154,'Brown-Universal mapping'!$A:$A,0))</f>
        <v>.</v>
      </c>
      <c r="I154" s="5" t="s">
        <v>152</v>
      </c>
      <c r="J154" s="5" t="e">
        <f>INDEX('Brown tagset'!$B:$B,MATCH(IF(ISERROR(FIND("-",I154)),IF(ISERROR(FIND("+",I154)),I154,LEFT(I154,FIND("+",I154)-1)),LEFT(I154,FIND("-",I154)-1)),'Brown tagset'!$A:$A,0))</f>
        <v>#N/A</v>
      </c>
      <c r="K154" s="5" t="s">
        <v>2</v>
      </c>
      <c r="L154" s="5" t="str">
        <f>INDEX('Brown-Universal mapping'!$B:$B,MATCH(I154,'Brown-Universal mapping'!$A:$A,0))</f>
        <v>.</v>
      </c>
      <c r="M154" s="5">
        <f t="shared" si="22"/>
        <v>1</v>
      </c>
      <c r="N154" s="5">
        <f t="shared" si="23"/>
        <v>1</v>
      </c>
      <c r="P154" s="12" t="s">
        <v>152</v>
      </c>
      <c r="Q154" s="7" t="s">
        <v>152</v>
      </c>
      <c r="R154" s="7" t="e">
        <f>INDEX('Brown tagset'!$B:$B,MATCH(IF(ISERROR(FIND("-",Q154)),IF(ISERROR(FIND("+",Q154)),Q154,LEFT(Q154,FIND("+",Q154)-1)),LEFT(Q154,FIND("-",Q154)-1)),'Brown tagset'!$A:$A,0))</f>
        <v>#N/A</v>
      </c>
      <c r="S154" s="7"/>
      <c r="T154" s="7" t="str">
        <f>INDEX('Brown-Universal mapping'!$B:$B,MATCH(Q154,'Brown-Universal mapping'!$A:$A,0))</f>
        <v>.</v>
      </c>
      <c r="U154" s="7">
        <f t="shared" si="24"/>
        <v>1</v>
      </c>
      <c r="V154" s="7">
        <f t="shared" si="25"/>
        <v>1</v>
      </c>
      <c r="X154" s="12" t="s">
        <v>152</v>
      </c>
      <c r="Y154" s="7" t="s">
        <v>152</v>
      </c>
      <c r="Z154" s="7" t="e">
        <f>INDEX('Brown tagset'!$B:$B,MATCH(IF(ISERROR(FIND("-",Y154)),IF(ISERROR(FIND("+",Y154)),Y154,LEFT(Y154,FIND("+",Y154)-1)),LEFT(Y154,FIND("-",Y154)-1)),'Brown tagset'!$A:$A,0))</f>
        <v>#N/A</v>
      </c>
      <c r="AA154" s="7"/>
      <c r="AB154" s="7" t="str">
        <f>INDEX('Brown-Universal mapping'!$B:$B,MATCH(Y154,'Brown-Universal mapping'!$A:$A,0))</f>
        <v>.</v>
      </c>
      <c r="AC154" s="7">
        <f t="shared" si="28"/>
        <v>1</v>
      </c>
      <c r="AD154" s="7">
        <f t="shared" si="29"/>
        <v>1</v>
      </c>
      <c r="AF154" s="9" t="s">
        <v>152</v>
      </c>
      <c r="AG154" s="9" t="e">
        <f>INDEX('Brown tagset'!$B:$B,MATCH(IF(ISERROR(FIND("-",AF154)),IF(ISERROR(FIND("+",AF154)),AF154,LEFT(AF154,FIND("+",AF154)-1)),LEFT(AF154,FIND("-",AF154)-1)),'Brown tagset'!$A:$A,0))</f>
        <v>#N/A</v>
      </c>
      <c r="AH154" s="9" t="s">
        <v>2</v>
      </c>
      <c r="AI154" s="9" t="str">
        <f>INDEX('Brown-Universal mapping'!$B:$B,MATCH(AF154,'Brown-Universal mapping'!$A:$A,0))</f>
        <v>.</v>
      </c>
      <c r="AJ154" s="9">
        <f t="shared" si="26"/>
        <v>1</v>
      </c>
      <c r="AK154" s="9">
        <f t="shared" si="27"/>
        <v>1</v>
      </c>
      <c r="AM154" s="6">
        <f t="shared" si="30"/>
        <v>3</v>
      </c>
      <c r="AN154" s="6">
        <f t="shared" si="31"/>
        <v>3</v>
      </c>
      <c r="AP154" s="6" t="e">
        <f t="shared" si="32"/>
        <v>#N/A</v>
      </c>
    </row>
    <row r="155" spans="1:42" x14ac:dyDescent="0.25">
      <c r="A155" s="29" t="s">
        <v>153</v>
      </c>
      <c r="B155" s="29"/>
      <c r="D155" s="3" t="s">
        <v>66</v>
      </c>
      <c r="E155" s="3" t="str">
        <f>INDEX('Brown tagset'!$B:$B,MATCH(IF(ISERROR(FIND("-",D155)),IF(ISERROR(FIND("+",D155)),D155,LEFT(D155,FIND("+",D155)-1)),LEFT(D155,FIND("-",D155)-1)),'Brown tagset'!$A:$A,0))</f>
        <v>proper noun or part of name phrase</v>
      </c>
      <c r="F155" s="3"/>
      <c r="G155" s="3" t="str">
        <f>INDEX('Brown-Universal mapping'!$B:$B,MATCH(D155,'Brown-Universal mapping'!$A:$A,0))</f>
        <v>NOUN</v>
      </c>
      <c r="I155" s="5" t="s">
        <v>66</v>
      </c>
      <c r="J155" s="5" t="str">
        <f>INDEX('Brown tagset'!$B:$B,MATCH(IF(ISERROR(FIND("-",I155)),IF(ISERROR(FIND("+",I155)),I155,LEFT(I155,FIND("+",I155)-1)),LEFT(I155,FIND("-",I155)-1)),'Brown tagset'!$A:$A,0))</f>
        <v>proper noun or part of name phrase</v>
      </c>
      <c r="K155" s="5" t="s">
        <v>13</v>
      </c>
      <c r="L155" s="5" t="str">
        <f>INDEX('Brown-Universal mapping'!$B:$B,MATCH(I155,'Brown-Universal mapping'!$A:$A,0))</f>
        <v>NOUN</v>
      </c>
      <c r="M155" s="5">
        <f t="shared" si="22"/>
        <v>1</v>
      </c>
      <c r="N155" s="5">
        <f t="shared" si="23"/>
        <v>1</v>
      </c>
      <c r="P155" s="12" t="s">
        <v>153</v>
      </c>
      <c r="Q155" s="7" t="s">
        <v>287</v>
      </c>
      <c r="R155" s="7" t="str">
        <f>INDEX('Brown tagset'!$B:$B,MATCH(IF(ISERROR(FIND("-",Q155)),IF(ISERROR(FIND("+",Q155)),Q155,LEFT(Q155,FIND("+",Q155)-1)),LEFT(Q155,FIND("-",Q155)-1)),'Brown tagset'!$A:$A,0))</f>
        <v>proper noun or part of name phrase</v>
      </c>
      <c r="S155" s="7"/>
      <c r="T155" s="7" t="str">
        <f>INDEX('Brown-Universal mapping'!$B:$B,MATCH(Q155,'Brown-Universal mapping'!$A:$A,0))</f>
        <v>NOUN</v>
      </c>
      <c r="U155" s="7">
        <f t="shared" si="24"/>
        <v>1</v>
      </c>
      <c r="V155" s="7">
        <f t="shared" si="25"/>
        <v>1</v>
      </c>
      <c r="X155" s="12" t="s">
        <v>153</v>
      </c>
      <c r="Y155" s="7" t="s">
        <v>287</v>
      </c>
      <c r="Z155" s="7" t="str">
        <f>INDEX('Brown tagset'!$B:$B,MATCH(IF(ISERROR(FIND("-",Y155)),IF(ISERROR(FIND("+",Y155)),Y155,LEFT(Y155,FIND("+",Y155)-1)),LEFT(Y155,FIND("-",Y155)-1)),'Brown tagset'!$A:$A,0))</f>
        <v>proper noun or part of name phrase</v>
      </c>
      <c r="AA155" s="7"/>
      <c r="AB155" s="7" t="str">
        <f>INDEX('Brown-Universal mapping'!$B:$B,MATCH(Y155,'Brown-Universal mapping'!$A:$A,0))</f>
        <v>NOUN</v>
      </c>
      <c r="AC155" s="7">
        <f t="shared" si="28"/>
        <v>1</v>
      </c>
      <c r="AD155" s="7">
        <f t="shared" si="29"/>
        <v>1</v>
      </c>
      <c r="AF155" s="9" t="s">
        <v>66</v>
      </c>
      <c r="AG155" s="9" t="str">
        <f>INDEX('Brown tagset'!$B:$B,MATCH(IF(ISERROR(FIND("-",AF155)),IF(ISERROR(FIND("+",AF155)),AF155,LEFT(AF155,FIND("+",AF155)-1)),LEFT(AF155,FIND("-",AF155)-1)),'Brown tagset'!$A:$A,0))</f>
        <v>proper noun or part of name phrase</v>
      </c>
      <c r="AH155" s="9" t="s">
        <v>13</v>
      </c>
      <c r="AI155" s="9" t="str">
        <f>INDEX('Brown-Universal mapping'!$B:$B,MATCH(AF155,'Brown-Universal mapping'!$A:$A,0))</f>
        <v>NOUN</v>
      </c>
      <c r="AJ155" s="9">
        <f t="shared" si="26"/>
        <v>1</v>
      </c>
      <c r="AK155" s="9">
        <f t="shared" si="27"/>
        <v>1</v>
      </c>
      <c r="AM155" s="6">
        <f t="shared" si="30"/>
        <v>3</v>
      </c>
      <c r="AN155" s="6">
        <f t="shared" si="31"/>
        <v>3</v>
      </c>
      <c r="AP155" s="6" t="str">
        <f t="shared" si="32"/>
        <v>proper noun or part of name phrase3</v>
      </c>
    </row>
    <row r="156" spans="1:42" x14ac:dyDescent="0.25">
      <c r="A156" s="29" t="s">
        <v>154</v>
      </c>
      <c r="B156" s="29"/>
      <c r="D156" s="3" t="s">
        <v>66</v>
      </c>
      <c r="E156" s="3" t="str">
        <f>INDEX('Brown tagset'!$B:$B,MATCH(IF(ISERROR(FIND("-",D156)),IF(ISERROR(FIND("+",D156)),D156,LEFT(D156,FIND("+",D156)-1)),LEFT(D156,FIND("-",D156)-1)),'Brown tagset'!$A:$A,0))</f>
        <v>proper noun or part of name phrase</v>
      </c>
      <c r="F156" s="3"/>
      <c r="G156" s="3" t="str">
        <f>INDEX('Brown-Universal mapping'!$B:$B,MATCH(D156,'Brown-Universal mapping'!$A:$A,0))</f>
        <v>NOUN</v>
      </c>
      <c r="I156" s="5" t="s">
        <v>66</v>
      </c>
      <c r="J156" s="5" t="str">
        <f>INDEX('Brown tagset'!$B:$B,MATCH(IF(ISERROR(FIND("-",I156)),IF(ISERROR(FIND("+",I156)),I156,LEFT(I156,FIND("+",I156)-1)),LEFT(I156,FIND("-",I156)-1)),'Brown tagset'!$A:$A,0))</f>
        <v>proper noun or part of name phrase</v>
      </c>
      <c r="K156" s="5" t="s">
        <v>13</v>
      </c>
      <c r="L156" s="5" t="str">
        <f>INDEX('Brown-Universal mapping'!$B:$B,MATCH(I156,'Brown-Universal mapping'!$A:$A,0))</f>
        <v>NOUN</v>
      </c>
      <c r="M156" s="5">
        <f t="shared" si="22"/>
        <v>1</v>
      </c>
      <c r="N156" s="5">
        <f t="shared" si="23"/>
        <v>1</v>
      </c>
      <c r="P156" s="12" t="s">
        <v>154</v>
      </c>
      <c r="Q156" s="7" t="s">
        <v>287</v>
      </c>
      <c r="R156" s="7" t="str">
        <f>INDEX('Brown tagset'!$B:$B,MATCH(IF(ISERROR(FIND("-",Q156)),IF(ISERROR(FIND("+",Q156)),Q156,LEFT(Q156,FIND("+",Q156)-1)),LEFT(Q156,FIND("-",Q156)-1)),'Brown tagset'!$A:$A,0))</f>
        <v>proper noun or part of name phrase</v>
      </c>
      <c r="S156" s="7"/>
      <c r="T156" s="7" t="str">
        <f>INDEX('Brown-Universal mapping'!$B:$B,MATCH(Q156,'Brown-Universal mapping'!$A:$A,0))</f>
        <v>NOUN</v>
      </c>
      <c r="U156" s="7">
        <f t="shared" si="24"/>
        <v>1</v>
      </c>
      <c r="V156" s="7">
        <f t="shared" si="25"/>
        <v>1</v>
      </c>
      <c r="X156" s="12" t="s">
        <v>154</v>
      </c>
      <c r="Y156" s="7" t="s">
        <v>287</v>
      </c>
      <c r="Z156" s="7" t="str">
        <f>INDEX('Brown tagset'!$B:$B,MATCH(IF(ISERROR(FIND("-",Y156)),IF(ISERROR(FIND("+",Y156)),Y156,LEFT(Y156,FIND("+",Y156)-1)),LEFT(Y156,FIND("-",Y156)-1)),'Brown tagset'!$A:$A,0))</f>
        <v>proper noun or part of name phrase</v>
      </c>
      <c r="AA156" s="7"/>
      <c r="AB156" s="7" t="str">
        <f>INDEX('Brown-Universal mapping'!$B:$B,MATCH(Y156,'Brown-Universal mapping'!$A:$A,0))</f>
        <v>NOUN</v>
      </c>
      <c r="AC156" s="7">
        <f t="shared" si="28"/>
        <v>1</v>
      </c>
      <c r="AD156" s="7">
        <f t="shared" si="29"/>
        <v>1</v>
      </c>
      <c r="AF156" s="9" t="s">
        <v>66</v>
      </c>
      <c r="AG156" s="9" t="str">
        <f>INDEX('Brown tagset'!$B:$B,MATCH(IF(ISERROR(FIND("-",AF156)),IF(ISERROR(FIND("+",AF156)),AF156,LEFT(AF156,FIND("+",AF156)-1)),LEFT(AF156,FIND("-",AF156)-1)),'Brown tagset'!$A:$A,0))</f>
        <v>proper noun or part of name phrase</v>
      </c>
      <c r="AH156" s="9" t="s">
        <v>13</v>
      </c>
      <c r="AI156" s="9" t="str">
        <f>INDEX('Brown-Universal mapping'!$B:$B,MATCH(AF156,'Brown-Universal mapping'!$A:$A,0))</f>
        <v>NOUN</v>
      </c>
      <c r="AJ156" s="9">
        <f t="shared" si="26"/>
        <v>1</v>
      </c>
      <c r="AK156" s="9">
        <f t="shared" si="27"/>
        <v>1</v>
      </c>
      <c r="AM156" s="6">
        <f t="shared" si="30"/>
        <v>3</v>
      </c>
      <c r="AN156" s="6">
        <f t="shared" si="31"/>
        <v>3</v>
      </c>
      <c r="AP156" s="6" t="str">
        <f t="shared" si="32"/>
        <v>proper noun or part of name phrase3</v>
      </c>
    </row>
    <row r="157" spans="1:42" x14ac:dyDescent="0.25">
      <c r="A157" s="25" t="s">
        <v>155</v>
      </c>
      <c r="B157" s="25"/>
      <c r="D157" s="3" t="s">
        <v>66</v>
      </c>
      <c r="E157" s="3" t="str">
        <f>INDEX('Brown tagset'!$B:$B,MATCH(IF(ISERROR(FIND("-",D157)),IF(ISERROR(FIND("+",D157)),D157,LEFT(D157,FIND("+",D157)-1)),LEFT(D157,FIND("-",D157)-1)),'Brown tagset'!$A:$A,0))</f>
        <v>proper noun or part of name phrase</v>
      </c>
      <c r="F157" s="3"/>
      <c r="G157" s="3" t="str">
        <f>INDEX('Brown-Universal mapping'!$B:$B,MATCH(D157,'Brown-Universal mapping'!$A:$A,0))</f>
        <v>NOUN</v>
      </c>
      <c r="I157" s="5" t="s">
        <v>66</v>
      </c>
      <c r="J157" s="5" t="str">
        <f>INDEX('Brown tagset'!$B:$B,MATCH(IF(ISERROR(FIND("-",I157)),IF(ISERROR(FIND("+",I157)),I157,LEFT(I157,FIND("+",I157)-1)),LEFT(I157,FIND("-",I157)-1)),'Brown tagset'!$A:$A,0))</f>
        <v>proper noun or part of name phrase</v>
      </c>
      <c r="K157" s="5" t="s">
        <v>13</v>
      </c>
      <c r="L157" s="5" t="str">
        <f>INDEX('Brown-Universal mapping'!$B:$B,MATCH(I157,'Brown-Universal mapping'!$A:$A,0))</f>
        <v>NOUN</v>
      </c>
      <c r="M157" s="5">
        <f t="shared" si="22"/>
        <v>1</v>
      </c>
      <c r="N157" s="5">
        <f t="shared" si="23"/>
        <v>1</v>
      </c>
      <c r="P157" s="12" t="s">
        <v>155</v>
      </c>
      <c r="Q157" s="7" t="s">
        <v>287</v>
      </c>
      <c r="R157" s="7" t="str">
        <f>INDEX('Brown tagset'!$B:$B,MATCH(IF(ISERROR(FIND("-",Q157)),IF(ISERROR(FIND("+",Q157)),Q157,LEFT(Q157,FIND("+",Q157)-1)),LEFT(Q157,FIND("-",Q157)-1)),'Brown tagset'!$A:$A,0))</f>
        <v>proper noun or part of name phrase</v>
      </c>
      <c r="S157" s="7"/>
      <c r="T157" s="7" t="str">
        <f>INDEX('Brown-Universal mapping'!$B:$B,MATCH(Q157,'Brown-Universal mapping'!$A:$A,0))</f>
        <v>NOUN</v>
      </c>
      <c r="U157" s="7">
        <f t="shared" si="24"/>
        <v>1</v>
      </c>
      <c r="V157" s="7">
        <f t="shared" si="25"/>
        <v>1</v>
      </c>
      <c r="X157" s="12" t="s">
        <v>155</v>
      </c>
      <c r="Y157" s="7" t="s">
        <v>287</v>
      </c>
      <c r="Z157" s="7" t="str">
        <f>INDEX('Brown tagset'!$B:$B,MATCH(IF(ISERROR(FIND("-",Y157)),IF(ISERROR(FIND("+",Y157)),Y157,LEFT(Y157,FIND("+",Y157)-1)),LEFT(Y157,FIND("-",Y157)-1)),'Brown tagset'!$A:$A,0))</f>
        <v>proper noun or part of name phrase</v>
      </c>
      <c r="AA157" s="7"/>
      <c r="AB157" s="7" t="str">
        <f>INDEX('Brown-Universal mapping'!$B:$B,MATCH(Y157,'Brown-Universal mapping'!$A:$A,0))</f>
        <v>NOUN</v>
      </c>
      <c r="AC157" s="7">
        <f t="shared" si="28"/>
        <v>1</v>
      </c>
      <c r="AD157" s="7">
        <f t="shared" si="29"/>
        <v>1</v>
      </c>
      <c r="AF157" s="9" t="s">
        <v>340</v>
      </c>
      <c r="AG157" s="9" t="str">
        <f>INDEX('Brown tagset'!$B:$B,MATCH(IF(ISERROR(FIND("-",AF157)),IF(ISERROR(FIND("+",AF157)),AF157,LEFT(AF157,FIND("+",AF157)-1)),LEFT(AF157,FIND("-",AF157)-1)),'Brown tagset'!$A:$A,0))</f>
        <v>unknown</v>
      </c>
      <c r="AH157" s="9" t="s">
        <v>2</v>
      </c>
      <c r="AI157" s="9" t="str">
        <f>INDEX('Brown-Universal mapping'!$B:$B,MATCH(AF157,'Brown-Universal mapping'!$A:$A,0))</f>
        <v>Unknown</v>
      </c>
      <c r="AJ157" s="9">
        <f t="shared" si="26"/>
        <v>0</v>
      </c>
      <c r="AK157" s="9">
        <f t="shared" si="27"/>
        <v>0</v>
      </c>
      <c r="AM157" s="6">
        <f t="shared" si="30"/>
        <v>2</v>
      </c>
      <c r="AN157" s="6">
        <f t="shared" si="31"/>
        <v>2</v>
      </c>
      <c r="AP157" s="6" t="str">
        <f t="shared" si="32"/>
        <v>unknown2</v>
      </c>
    </row>
    <row r="158" spans="1:42" x14ac:dyDescent="0.25">
      <c r="A158" s="29" t="s">
        <v>38</v>
      </c>
      <c r="B158" s="29"/>
      <c r="D158" s="3" t="s">
        <v>38</v>
      </c>
      <c r="E158" s="3" t="str">
        <f>INDEX('Brown tagset'!$B:$B,MATCH(IF(ISERROR(FIND("-",D158)),IF(ISERROR(FIND("+",D158)),D158,LEFT(D158,FIND("+",D158)-1)),LEFT(D158,FIND("-",D158)-1)),'Brown tagset'!$A:$A,0))</f>
        <v>sentence (. ; ? *)</v>
      </c>
      <c r="F158" s="3"/>
      <c r="G158" s="3" t="str">
        <f>INDEX('Brown-Universal mapping'!$B:$B,MATCH(D158,'Brown-Universal mapping'!$A:$A,0))</f>
        <v>.</v>
      </c>
      <c r="I158" s="5" t="s">
        <v>38</v>
      </c>
      <c r="J158" s="5" t="str">
        <f>INDEX('Brown tagset'!$B:$B,MATCH(IF(ISERROR(FIND("-",I158)),IF(ISERROR(FIND("+",I158)),I158,LEFT(I158,FIND("+",I158)-1)),LEFT(I158,FIND("-",I158)-1)),'Brown tagset'!$A:$A,0))</f>
        <v>sentence (. ; ? *)</v>
      </c>
      <c r="K158" s="5" t="s">
        <v>38</v>
      </c>
      <c r="L158" s="5" t="str">
        <f>INDEX('Brown-Universal mapping'!$B:$B,MATCH(I158,'Brown-Universal mapping'!$A:$A,0))</f>
        <v>.</v>
      </c>
      <c r="M158" s="5">
        <f t="shared" si="22"/>
        <v>1</v>
      </c>
      <c r="N158" s="5">
        <f t="shared" si="23"/>
        <v>1</v>
      </c>
      <c r="P158" s="12" t="s">
        <v>38</v>
      </c>
      <c r="Q158" s="7" t="s">
        <v>38</v>
      </c>
      <c r="R158" s="7" t="str">
        <f>INDEX('Brown tagset'!$B:$B,MATCH(IF(ISERROR(FIND("-",Q158)),IF(ISERROR(FIND("+",Q158)),Q158,LEFT(Q158,FIND("+",Q158)-1)),LEFT(Q158,FIND("-",Q158)-1)),'Brown tagset'!$A:$A,0))</f>
        <v>sentence (. ; ? *)</v>
      </c>
      <c r="S158" s="7"/>
      <c r="T158" s="7" t="str">
        <f>INDEX('Brown-Universal mapping'!$B:$B,MATCH(Q158,'Brown-Universal mapping'!$A:$A,0))</f>
        <v>.</v>
      </c>
      <c r="U158" s="7">
        <f t="shared" si="24"/>
        <v>1</v>
      </c>
      <c r="V158" s="7">
        <f t="shared" si="25"/>
        <v>1</v>
      </c>
      <c r="X158" s="12" t="s">
        <v>38</v>
      </c>
      <c r="Y158" s="7" t="s">
        <v>38</v>
      </c>
      <c r="Z158" s="7" t="str">
        <f>INDEX('Brown tagset'!$B:$B,MATCH(IF(ISERROR(FIND("-",Y158)),IF(ISERROR(FIND("+",Y158)),Y158,LEFT(Y158,FIND("+",Y158)-1)),LEFT(Y158,FIND("-",Y158)-1)),'Brown tagset'!$A:$A,0))</f>
        <v>sentence (. ; ? *)</v>
      </c>
      <c r="AA158" s="7"/>
      <c r="AB158" s="7" t="str">
        <f>INDEX('Brown-Universal mapping'!$B:$B,MATCH(Y158,'Brown-Universal mapping'!$A:$A,0))</f>
        <v>.</v>
      </c>
      <c r="AC158" s="7">
        <f t="shared" si="28"/>
        <v>1</v>
      </c>
      <c r="AD158" s="7">
        <f t="shared" si="29"/>
        <v>1</v>
      </c>
      <c r="AF158" s="9" t="s">
        <v>38</v>
      </c>
      <c r="AG158" s="9" t="str">
        <f>INDEX('Brown tagset'!$B:$B,MATCH(IF(ISERROR(FIND("-",AF158)),IF(ISERROR(FIND("+",AF158)),AF158,LEFT(AF158,FIND("+",AF158)-1)),LEFT(AF158,FIND("-",AF158)-1)),'Brown tagset'!$A:$A,0))</f>
        <v>sentence (. ; ? *)</v>
      </c>
      <c r="AH158" s="9" t="s">
        <v>38</v>
      </c>
      <c r="AI158" s="9" t="str">
        <f>INDEX('Brown-Universal mapping'!$B:$B,MATCH(AF158,'Brown-Universal mapping'!$A:$A,0))</f>
        <v>.</v>
      </c>
      <c r="AJ158" s="9">
        <f t="shared" si="26"/>
        <v>1</v>
      </c>
      <c r="AK158" s="9">
        <f t="shared" si="27"/>
        <v>1</v>
      </c>
      <c r="AM158" s="6">
        <f t="shared" si="30"/>
        <v>3</v>
      </c>
      <c r="AN158" s="6">
        <f t="shared" si="31"/>
        <v>3</v>
      </c>
      <c r="AP158" s="6" t="str">
        <f t="shared" si="32"/>
        <v>sentence (. ; ? *)3</v>
      </c>
    </row>
    <row r="159" spans="1:42" x14ac:dyDescent="0.25">
      <c r="A159" s="29" t="s">
        <v>156</v>
      </c>
      <c r="B159" s="29">
        <v>1</v>
      </c>
      <c r="C159" s="4">
        <v>1</v>
      </c>
      <c r="D159" s="3" t="s">
        <v>4</v>
      </c>
      <c r="E159" s="3" t="str">
        <f>INDEX('Brown tagset'!$B:$B,MATCH(IF(ISERROR(FIND("-",D159)),IF(ISERROR(FIND("+",D159)),D159,LEFT(D159,FIND("+",D159)-1)),LEFT(D159,FIND("-",D159)-1)),'Brown tagset'!$A:$A,0))</f>
        <v>adverb</v>
      </c>
      <c r="F159" s="3"/>
      <c r="G159" s="3" t="str">
        <f>INDEX('Brown-Universal mapping'!$B:$B,MATCH(D159,'Brown-Universal mapping'!$A:$A,0))</f>
        <v>ADV</v>
      </c>
      <c r="I159" s="5" t="s">
        <v>4</v>
      </c>
      <c r="J159" s="5" t="str">
        <f>INDEX('Brown tagset'!$B:$B,MATCH(IF(ISERROR(FIND("-",I159)),IF(ISERROR(FIND("+",I159)),I159,LEFT(I159,FIND("+",I159)-1)),LEFT(I159,FIND("-",I159)-1)),'Brown tagset'!$A:$A,0))</f>
        <v>adverb</v>
      </c>
      <c r="K159" s="5" t="s">
        <v>5</v>
      </c>
      <c r="L159" s="5" t="str">
        <f>INDEX('Brown-Universal mapping'!$B:$B,MATCH(I159,'Brown-Universal mapping'!$A:$A,0))</f>
        <v>ADV</v>
      </c>
      <c r="M159" s="5">
        <f t="shared" si="22"/>
        <v>1</v>
      </c>
      <c r="N159" s="5">
        <f t="shared" si="23"/>
        <v>1</v>
      </c>
      <c r="P159" s="12" t="s">
        <v>156</v>
      </c>
      <c r="Q159" s="7" t="s">
        <v>288</v>
      </c>
      <c r="R159" s="7" t="str">
        <f>INDEX('Brown tagset'!$B:$B,MATCH(IF(ISERROR(FIND("-",Q159)),IF(ISERROR(FIND("+",Q159)),Q159,LEFT(Q159,FIND("+",Q159)-1)),LEFT(Q159,FIND("-",Q159)-1)),'Brown tagset'!$A:$A,0))</f>
        <v>adverb</v>
      </c>
      <c r="S159" s="7"/>
      <c r="T159" s="7" t="str">
        <f>INDEX('Brown-Universal mapping'!$B:$B,MATCH(Q159,'Brown-Universal mapping'!$A:$A,0))</f>
        <v>ADV</v>
      </c>
      <c r="U159" s="7">
        <f t="shared" si="24"/>
        <v>1</v>
      </c>
      <c r="V159" s="7">
        <f t="shared" si="25"/>
        <v>1</v>
      </c>
      <c r="X159" s="12" t="s">
        <v>156</v>
      </c>
      <c r="Y159" s="7" t="s">
        <v>288</v>
      </c>
      <c r="Z159" s="7" t="str">
        <f>INDEX('Brown tagset'!$B:$B,MATCH(IF(ISERROR(FIND("-",Y159)),IF(ISERROR(FIND("+",Y159)),Y159,LEFT(Y159,FIND("+",Y159)-1)),LEFT(Y159,FIND("-",Y159)-1)),'Brown tagset'!$A:$A,0))</f>
        <v>adverb</v>
      </c>
      <c r="AA159" s="7"/>
      <c r="AB159" s="7" t="str">
        <f>INDEX('Brown-Universal mapping'!$B:$B,MATCH(Y159,'Brown-Universal mapping'!$A:$A,0))</f>
        <v>ADV</v>
      </c>
      <c r="AC159" s="7">
        <f t="shared" si="28"/>
        <v>1</v>
      </c>
      <c r="AD159" s="7">
        <f t="shared" si="29"/>
        <v>1</v>
      </c>
      <c r="AF159" s="9" t="s">
        <v>4</v>
      </c>
      <c r="AG159" s="9" t="str">
        <f>INDEX('Brown tagset'!$B:$B,MATCH(IF(ISERROR(FIND("-",AF159)),IF(ISERROR(FIND("+",AF159)),AF159,LEFT(AF159,FIND("+",AF159)-1)),LEFT(AF159,FIND("-",AF159)-1)),'Brown tagset'!$A:$A,0))</f>
        <v>adverb</v>
      </c>
      <c r="AH159" s="9" t="s">
        <v>5</v>
      </c>
      <c r="AI159" s="9" t="str">
        <f>INDEX('Brown-Universal mapping'!$B:$B,MATCH(AF159,'Brown-Universal mapping'!$A:$A,0))</f>
        <v>ADV</v>
      </c>
      <c r="AJ159" s="9">
        <f t="shared" si="26"/>
        <v>1</v>
      </c>
      <c r="AK159" s="9">
        <f t="shared" si="27"/>
        <v>1</v>
      </c>
      <c r="AM159" s="6">
        <f t="shared" si="30"/>
        <v>3</v>
      </c>
      <c r="AN159" s="6">
        <f t="shared" si="31"/>
        <v>3</v>
      </c>
      <c r="AP159" s="6" t="str">
        <f t="shared" si="32"/>
        <v>adverb3</v>
      </c>
    </row>
    <row r="160" spans="1:42" x14ac:dyDescent="0.25">
      <c r="A160" s="29" t="s">
        <v>58</v>
      </c>
      <c r="B160" s="29"/>
      <c r="D160" s="3" t="s">
        <v>59</v>
      </c>
      <c r="E160" s="3" t="str">
        <f>INDEX('Brown tagset'!$B:$B,MATCH(IF(ISERROR(FIND("-",D160)),IF(ISERROR(FIND("+",D160)),D160,LEFT(D160,FIND("+",D160)-1)),LEFT(D160,FIND("-",D160)-1)),'Brown tagset'!$A:$A,0))</f>
        <v>preposition</v>
      </c>
      <c r="F160" s="3"/>
      <c r="G160" s="3" t="str">
        <f>INDEX('Brown-Universal mapping'!$B:$B,MATCH(D160,'Brown-Universal mapping'!$A:$A,0))</f>
        <v>ADP</v>
      </c>
      <c r="I160" s="5" t="s">
        <v>59</v>
      </c>
      <c r="J160" s="5" t="str">
        <f>INDEX('Brown tagset'!$B:$B,MATCH(IF(ISERROR(FIND("-",I160)),IF(ISERROR(FIND("+",I160)),I160,LEFT(I160,FIND("+",I160)-1)),LEFT(I160,FIND("-",I160)-1)),'Brown tagset'!$A:$A,0))</f>
        <v>preposition</v>
      </c>
      <c r="K160" s="5" t="s">
        <v>60</v>
      </c>
      <c r="L160" s="5" t="str">
        <f>INDEX('Brown-Universal mapping'!$B:$B,MATCH(I160,'Brown-Universal mapping'!$A:$A,0))</f>
        <v>ADP</v>
      </c>
      <c r="M160" s="5">
        <f t="shared" si="22"/>
        <v>1</v>
      </c>
      <c r="N160" s="5">
        <f t="shared" si="23"/>
        <v>1</v>
      </c>
      <c r="P160" s="12" t="s">
        <v>58</v>
      </c>
      <c r="Q160" s="7" t="s">
        <v>124</v>
      </c>
      <c r="R160" s="7" t="str">
        <f>INDEX('Brown tagset'!$B:$B,MATCH(IF(ISERROR(FIND("-",Q160)),IF(ISERROR(FIND("+",Q160)),Q160,LEFT(Q160,FIND("+",Q160)-1)),LEFT(Q160,FIND("-",Q160)-1)),'Brown tagset'!$A:$A,0))</f>
        <v>preposition</v>
      </c>
      <c r="S160" s="7"/>
      <c r="T160" s="7" t="str">
        <f>INDEX('Brown-Universal mapping'!$B:$B,MATCH(Q160,'Brown-Universal mapping'!$A:$A,0))</f>
        <v>ADP</v>
      </c>
      <c r="U160" s="7">
        <f t="shared" si="24"/>
        <v>1</v>
      </c>
      <c r="V160" s="7">
        <f t="shared" si="25"/>
        <v>1</v>
      </c>
      <c r="X160" s="12" t="s">
        <v>58</v>
      </c>
      <c r="Y160" s="7" t="s">
        <v>124</v>
      </c>
      <c r="Z160" s="7" t="str">
        <f>INDEX('Brown tagset'!$B:$B,MATCH(IF(ISERROR(FIND("-",Y160)),IF(ISERROR(FIND("+",Y160)),Y160,LEFT(Y160,FIND("+",Y160)-1)),LEFT(Y160,FIND("-",Y160)-1)),'Brown tagset'!$A:$A,0))</f>
        <v>preposition</v>
      </c>
      <c r="AA160" s="7"/>
      <c r="AB160" s="7" t="str">
        <f>INDEX('Brown-Universal mapping'!$B:$B,MATCH(Y160,'Brown-Universal mapping'!$A:$A,0))</f>
        <v>ADP</v>
      </c>
      <c r="AC160" s="7">
        <f t="shared" si="28"/>
        <v>1</v>
      </c>
      <c r="AD160" s="7">
        <f t="shared" si="29"/>
        <v>1</v>
      </c>
      <c r="AF160" s="9" t="s">
        <v>59</v>
      </c>
      <c r="AG160" s="9" t="str">
        <f>INDEX('Brown tagset'!$B:$B,MATCH(IF(ISERROR(FIND("-",AF160)),IF(ISERROR(FIND("+",AF160)),AF160,LEFT(AF160,FIND("+",AF160)-1)),LEFT(AF160,FIND("-",AF160)-1)),'Brown tagset'!$A:$A,0))</f>
        <v>preposition</v>
      </c>
      <c r="AH160" s="9" t="s">
        <v>60</v>
      </c>
      <c r="AI160" s="9" t="str">
        <f>INDEX('Brown-Universal mapping'!$B:$B,MATCH(AF160,'Brown-Universal mapping'!$A:$A,0))</f>
        <v>ADP</v>
      </c>
      <c r="AJ160" s="9">
        <f t="shared" si="26"/>
        <v>1</v>
      </c>
      <c r="AK160" s="9">
        <f t="shared" si="27"/>
        <v>1</v>
      </c>
      <c r="AM160" s="6">
        <f t="shared" si="30"/>
        <v>3</v>
      </c>
      <c r="AN160" s="6">
        <f t="shared" si="31"/>
        <v>3</v>
      </c>
      <c r="AP160" s="6" t="str">
        <f t="shared" si="32"/>
        <v>preposition3</v>
      </c>
    </row>
    <row r="161" spans="1:42" x14ac:dyDescent="0.25">
      <c r="A161" s="4" t="s">
        <v>157</v>
      </c>
      <c r="D161" s="3" t="s">
        <v>9</v>
      </c>
      <c r="E161" s="3" t="str">
        <f>INDEX('Brown tagset'!$B:$B,MATCH(IF(ISERROR(FIND("-",D161)),IF(ISERROR(FIND("+",D161)),D161,LEFT(D161,FIND("+",D161)-1)),LEFT(D161,FIND("-",D161)-1)),'Brown tagset'!$A:$A,0))</f>
        <v>verb, present participle/gerund</v>
      </c>
      <c r="F161" s="3"/>
      <c r="G161" s="3" t="str">
        <f>INDEX('Brown-Universal mapping'!$B:$B,MATCH(D161,'Brown-Universal mapping'!$A:$A,0))</f>
        <v>VERB</v>
      </c>
      <c r="I161" s="5" t="s">
        <v>9</v>
      </c>
      <c r="J161" s="5" t="str">
        <f>INDEX('Brown tagset'!$B:$B,MATCH(IF(ISERROR(FIND("-",I161)),IF(ISERROR(FIND("+",I161)),I161,LEFT(I161,FIND("+",I161)-1)),LEFT(I161,FIND("-",I161)-1)),'Brown tagset'!$A:$A,0))</f>
        <v>verb, present participle/gerund</v>
      </c>
      <c r="K161" s="5" t="s">
        <v>10</v>
      </c>
      <c r="L161" s="5" t="str">
        <f>INDEX('Brown-Universal mapping'!$B:$B,MATCH(I161,'Brown-Universal mapping'!$A:$A,0))</f>
        <v>VERB</v>
      </c>
      <c r="M161" s="5">
        <f t="shared" si="22"/>
        <v>1</v>
      </c>
      <c r="N161" s="5">
        <f t="shared" si="23"/>
        <v>1</v>
      </c>
      <c r="P161" s="12" t="s">
        <v>157</v>
      </c>
      <c r="Q161" s="7" t="s">
        <v>299</v>
      </c>
      <c r="R161" s="7" t="str">
        <f>INDEX('Brown tagset'!$B:$B,MATCH(IF(ISERROR(FIND("-",Q161)),IF(ISERROR(FIND("+",Q161)),Q161,LEFT(Q161,FIND("+",Q161)-1)),LEFT(Q161,FIND("-",Q161)-1)),'Brown tagset'!$A:$A,0))</f>
        <v>adjective</v>
      </c>
      <c r="S161" s="7"/>
      <c r="T161" s="7" t="str">
        <f>INDEX('Brown-Universal mapping'!$B:$B,MATCH(Q161,'Brown-Universal mapping'!$A:$A,0))</f>
        <v>ADJ</v>
      </c>
      <c r="U161" s="7">
        <f t="shared" si="24"/>
        <v>0</v>
      </c>
      <c r="V161" s="7">
        <f t="shared" si="25"/>
        <v>0</v>
      </c>
      <c r="X161" s="12" t="s">
        <v>157</v>
      </c>
      <c r="Y161" s="7" t="s">
        <v>299</v>
      </c>
      <c r="Z161" s="7" t="str">
        <f>INDEX('Brown tagset'!$B:$B,MATCH(IF(ISERROR(FIND("-",Y161)),IF(ISERROR(FIND("+",Y161)),Y161,LEFT(Y161,FIND("+",Y161)-1)),LEFT(Y161,FIND("-",Y161)-1)),'Brown tagset'!$A:$A,0))</f>
        <v>adjective</v>
      </c>
      <c r="AA161" s="7"/>
      <c r="AB161" s="7" t="str">
        <f>INDEX('Brown-Universal mapping'!$B:$B,MATCH(Y161,'Brown-Universal mapping'!$A:$A,0))</f>
        <v>ADJ</v>
      </c>
      <c r="AC161" s="7">
        <f t="shared" si="28"/>
        <v>0</v>
      </c>
      <c r="AD161" s="7">
        <f t="shared" si="29"/>
        <v>0</v>
      </c>
      <c r="AF161" s="9" t="s">
        <v>45</v>
      </c>
      <c r="AG161" s="9" t="str">
        <f>INDEX('Brown tagset'!$B:$B,MATCH(IF(ISERROR(FIND("-",AF161)),IF(ISERROR(FIND("+",AF161)),AF161,LEFT(AF161,FIND("+",AF161)-1)),LEFT(AF161,FIND("-",AF161)-1)),'Brown tagset'!$A:$A,0))</f>
        <v>adjective</v>
      </c>
      <c r="AH161" s="9" t="s">
        <v>46</v>
      </c>
      <c r="AI161" s="9" t="str">
        <f>INDEX('Brown-Universal mapping'!$B:$B,MATCH(AF161,'Brown-Universal mapping'!$A:$A,0))</f>
        <v>ADJ</v>
      </c>
      <c r="AJ161" s="9">
        <f t="shared" si="26"/>
        <v>0</v>
      </c>
      <c r="AK161" s="9">
        <f t="shared" si="27"/>
        <v>0</v>
      </c>
      <c r="AM161" s="6">
        <f t="shared" si="30"/>
        <v>1</v>
      </c>
      <c r="AN161" s="6">
        <f t="shared" si="31"/>
        <v>1</v>
      </c>
      <c r="AP161" s="6" t="str">
        <f t="shared" si="32"/>
        <v>adjective1</v>
      </c>
    </row>
    <row r="162" spans="1:42" x14ac:dyDescent="0.25">
      <c r="A162" s="29" t="s">
        <v>153</v>
      </c>
      <c r="B162" s="29"/>
      <c r="D162" s="3" t="s">
        <v>66</v>
      </c>
      <c r="E162" s="3" t="str">
        <f>INDEX('Brown tagset'!$B:$B,MATCH(IF(ISERROR(FIND("-",D162)),IF(ISERROR(FIND("+",D162)),D162,LEFT(D162,FIND("+",D162)-1)),LEFT(D162,FIND("-",D162)-1)),'Brown tagset'!$A:$A,0))</f>
        <v>proper noun or part of name phrase</v>
      </c>
      <c r="F162" s="3"/>
      <c r="G162" s="3" t="str">
        <f>INDEX('Brown-Universal mapping'!$B:$B,MATCH(D162,'Brown-Universal mapping'!$A:$A,0))</f>
        <v>NOUN</v>
      </c>
      <c r="I162" s="5" t="s">
        <v>66</v>
      </c>
      <c r="J162" s="5" t="str">
        <f>INDEX('Brown tagset'!$B:$B,MATCH(IF(ISERROR(FIND("-",I162)),IF(ISERROR(FIND("+",I162)),I162,LEFT(I162,FIND("+",I162)-1)),LEFT(I162,FIND("-",I162)-1)),'Brown tagset'!$A:$A,0))</f>
        <v>proper noun or part of name phrase</v>
      </c>
      <c r="K162" s="5" t="s">
        <v>13</v>
      </c>
      <c r="L162" s="5" t="str">
        <f>INDEX('Brown-Universal mapping'!$B:$B,MATCH(I162,'Brown-Universal mapping'!$A:$A,0))</f>
        <v>NOUN</v>
      </c>
      <c r="M162" s="5">
        <f t="shared" si="22"/>
        <v>1</v>
      </c>
      <c r="N162" s="5">
        <f t="shared" si="23"/>
        <v>1</v>
      </c>
      <c r="P162" s="12" t="s">
        <v>153</v>
      </c>
      <c r="Q162" s="7" t="s">
        <v>287</v>
      </c>
      <c r="R162" s="7" t="str">
        <f>INDEX('Brown tagset'!$B:$B,MATCH(IF(ISERROR(FIND("-",Q162)),IF(ISERROR(FIND("+",Q162)),Q162,LEFT(Q162,FIND("+",Q162)-1)),LEFT(Q162,FIND("-",Q162)-1)),'Brown tagset'!$A:$A,0))</f>
        <v>proper noun or part of name phrase</v>
      </c>
      <c r="S162" s="7"/>
      <c r="T162" s="7" t="str">
        <f>INDEX('Brown-Universal mapping'!$B:$B,MATCH(Q162,'Brown-Universal mapping'!$A:$A,0))</f>
        <v>NOUN</v>
      </c>
      <c r="U162" s="7">
        <f t="shared" si="24"/>
        <v>1</v>
      </c>
      <c r="V162" s="7">
        <f t="shared" si="25"/>
        <v>1</v>
      </c>
      <c r="X162" s="12" t="s">
        <v>153</v>
      </c>
      <c r="Y162" s="7" t="s">
        <v>287</v>
      </c>
      <c r="Z162" s="7" t="str">
        <f>INDEX('Brown tagset'!$B:$B,MATCH(IF(ISERROR(FIND("-",Y162)),IF(ISERROR(FIND("+",Y162)),Y162,LEFT(Y162,FIND("+",Y162)-1)),LEFT(Y162,FIND("-",Y162)-1)),'Brown tagset'!$A:$A,0))</f>
        <v>proper noun or part of name phrase</v>
      </c>
      <c r="AA162" s="7"/>
      <c r="AB162" s="7" t="str">
        <f>INDEX('Brown-Universal mapping'!$B:$B,MATCH(Y162,'Brown-Universal mapping'!$A:$A,0))</f>
        <v>NOUN</v>
      </c>
      <c r="AC162" s="7">
        <f t="shared" si="28"/>
        <v>1</v>
      </c>
      <c r="AD162" s="7">
        <f t="shared" si="29"/>
        <v>1</v>
      </c>
      <c r="AF162" s="9" t="s">
        <v>66</v>
      </c>
      <c r="AG162" s="9" t="str">
        <f>INDEX('Brown tagset'!$B:$B,MATCH(IF(ISERROR(FIND("-",AF162)),IF(ISERROR(FIND("+",AF162)),AF162,LEFT(AF162,FIND("+",AF162)-1)),LEFT(AF162,FIND("-",AF162)-1)),'Brown tagset'!$A:$A,0))</f>
        <v>proper noun or part of name phrase</v>
      </c>
      <c r="AH162" s="9" t="s">
        <v>13</v>
      </c>
      <c r="AI162" s="9" t="str">
        <f>INDEX('Brown-Universal mapping'!$B:$B,MATCH(AF162,'Brown-Universal mapping'!$A:$A,0))</f>
        <v>NOUN</v>
      </c>
      <c r="AJ162" s="9">
        <f t="shared" si="26"/>
        <v>1</v>
      </c>
      <c r="AK162" s="9">
        <f t="shared" si="27"/>
        <v>1</v>
      </c>
      <c r="AM162" s="6">
        <f t="shared" si="30"/>
        <v>3</v>
      </c>
      <c r="AN162" s="6">
        <f t="shared" si="31"/>
        <v>3</v>
      </c>
      <c r="AP162" s="6" t="str">
        <f t="shared" si="32"/>
        <v>proper noun or part of name phrase3</v>
      </c>
    </row>
    <row r="163" spans="1:42" x14ac:dyDescent="0.25">
      <c r="A163" s="29" t="s">
        <v>62</v>
      </c>
      <c r="B163" s="29"/>
      <c r="D163" s="3" t="s">
        <v>62</v>
      </c>
      <c r="E163" s="3" t="str">
        <f>INDEX('Brown tagset'!$B:$B,MATCH(IF(ISERROR(FIND("-",D163)),IF(ISERROR(FIND("+",D163)),D163,LEFT(D163,FIND("+",D163)-1)),LEFT(D163,FIND("-",D163)-1)),'Brown tagset'!$A:$A,0))</f>
        <v>comma</v>
      </c>
      <c r="F163" s="3"/>
      <c r="G163" s="3" t="str">
        <f>INDEX('Brown-Universal mapping'!$B:$B,MATCH(D163,'Brown-Universal mapping'!$A:$A,0))</f>
        <v>.</v>
      </c>
      <c r="I163" s="5" t="s">
        <v>62</v>
      </c>
      <c r="J163" s="5" t="str">
        <f>INDEX('Brown tagset'!$B:$B,MATCH(IF(ISERROR(FIND("-",I163)),IF(ISERROR(FIND("+",I163)),I163,LEFT(I163,FIND("+",I163)-1)),LEFT(I163,FIND("-",I163)-1)),'Brown tagset'!$A:$A,0))</f>
        <v>comma</v>
      </c>
      <c r="K163" s="5" t="s">
        <v>38</v>
      </c>
      <c r="L163" s="5" t="str">
        <f>INDEX('Brown-Universal mapping'!$B:$B,MATCH(I163,'Brown-Universal mapping'!$A:$A,0))</f>
        <v>.</v>
      </c>
      <c r="M163" s="5">
        <f t="shared" si="22"/>
        <v>1</v>
      </c>
      <c r="N163" s="5">
        <f t="shared" si="23"/>
        <v>1</v>
      </c>
      <c r="P163" s="12" t="s">
        <v>62</v>
      </c>
      <c r="Q163" s="7" t="s">
        <v>62</v>
      </c>
      <c r="R163" s="7" t="str">
        <f>INDEX('Brown tagset'!$B:$B,MATCH(IF(ISERROR(FIND("-",Q163)),IF(ISERROR(FIND("+",Q163)),Q163,LEFT(Q163,FIND("+",Q163)-1)),LEFT(Q163,FIND("-",Q163)-1)),'Brown tagset'!$A:$A,0))</f>
        <v>comma</v>
      </c>
      <c r="S163" s="7"/>
      <c r="T163" s="7" t="str">
        <f>INDEX('Brown-Universal mapping'!$B:$B,MATCH(Q163,'Brown-Universal mapping'!$A:$A,0))</f>
        <v>.</v>
      </c>
      <c r="U163" s="7">
        <f t="shared" si="24"/>
        <v>1</v>
      </c>
      <c r="V163" s="7">
        <f t="shared" si="25"/>
        <v>1</v>
      </c>
      <c r="X163" s="12" t="s">
        <v>62</v>
      </c>
      <c r="Y163" s="7" t="s">
        <v>62</v>
      </c>
      <c r="Z163" s="7" t="str">
        <f>INDEX('Brown tagset'!$B:$B,MATCH(IF(ISERROR(FIND("-",Y163)),IF(ISERROR(FIND("+",Y163)),Y163,LEFT(Y163,FIND("+",Y163)-1)),LEFT(Y163,FIND("-",Y163)-1)),'Brown tagset'!$A:$A,0))</f>
        <v>comma</v>
      </c>
      <c r="AA163" s="7"/>
      <c r="AB163" s="7" t="str">
        <f>INDEX('Brown-Universal mapping'!$B:$B,MATCH(Y163,'Brown-Universal mapping'!$A:$A,0))</f>
        <v>.</v>
      </c>
      <c r="AC163" s="7">
        <f t="shared" si="28"/>
        <v>1</v>
      </c>
      <c r="AD163" s="7">
        <f t="shared" si="29"/>
        <v>1</v>
      </c>
      <c r="AF163" s="9" t="s">
        <v>62</v>
      </c>
      <c r="AG163" s="9" t="str">
        <f>INDEX('Brown tagset'!$B:$B,MATCH(IF(ISERROR(FIND("-",AF163)),IF(ISERROR(FIND("+",AF163)),AF163,LEFT(AF163,FIND("+",AF163)-1)),LEFT(AF163,FIND("-",AF163)-1)),'Brown tagset'!$A:$A,0))</f>
        <v>comma</v>
      </c>
      <c r="AH163" s="9" t="s">
        <v>38</v>
      </c>
      <c r="AI163" s="9" t="str">
        <f>INDEX('Brown-Universal mapping'!$B:$B,MATCH(AF163,'Brown-Universal mapping'!$A:$A,0))</f>
        <v>.</v>
      </c>
      <c r="AJ163" s="9">
        <f t="shared" si="26"/>
        <v>1</v>
      </c>
      <c r="AK163" s="9">
        <f t="shared" si="27"/>
        <v>1</v>
      </c>
      <c r="AM163" s="6">
        <f t="shared" si="30"/>
        <v>3</v>
      </c>
      <c r="AN163" s="6">
        <f t="shared" si="31"/>
        <v>3</v>
      </c>
      <c r="AP163" s="6" t="str">
        <f t="shared" si="32"/>
        <v>comma3</v>
      </c>
    </row>
    <row r="164" spans="1:42" x14ac:dyDescent="0.25">
      <c r="A164" s="29" t="s">
        <v>21</v>
      </c>
      <c r="B164" s="29"/>
      <c r="D164" s="3" t="s">
        <v>22</v>
      </c>
      <c r="E164" s="3" t="str">
        <f>INDEX('Brown tagset'!$B:$B,MATCH(IF(ISERROR(FIND("-",D164)),IF(ISERROR(FIND("+",D164)),D164,LEFT(D164,FIND("+",D164)-1)),LEFT(D164,FIND("-",D164)-1)),'Brown tagset'!$A:$A,0))</f>
        <v>possessive personal pronoun (my, our)</v>
      </c>
      <c r="F164" s="3"/>
      <c r="G164" s="3" t="str">
        <f>INDEX('Brown-Universal mapping'!$B:$B,MATCH(D164,'Brown-Universal mapping'!$A:$A,0))</f>
        <v>DET</v>
      </c>
      <c r="I164" s="5" t="s">
        <v>22</v>
      </c>
      <c r="J164" s="5" t="str">
        <f>INDEX('Brown tagset'!$B:$B,MATCH(IF(ISERROR(FIND("-",I164)),IF(ISERROR(FIND("+",I164)),I164,LEFT(I164,FIND("+",I164)-1)),LEFT(I164,FIND("-",I164)-1)),'Brown tagset'!$A:$A,0))</f>
        <v>possessive personal pronoun (my, our)</v>
      </c>
      <c r="K164" s="5" t="s">
        <v>2</v>
      </c>
      <c r="L164" s="5" t="str">
        <f>INDEX('Brown-Universal mapping'!$B:$B,MATCH(I164,'Brown-Universal mapping'!$A:$A,0))</f>
        <v>DET</v>
      </c>
      <c r="M164" s="5">
        <f t="shared" si="22"/>
        <v>1</v>
      </c>
      <c r="N164" s="5">
        <f t="shared" si="23"/>
        <v>1</v>
      </c>
      <c r="P164" s="12" t="s">
        <v>21</v>
      </c>
      <c r="Q164" s="7" t="s">
        <v>291</v>
      </c>
      <c r="R164" s="7" t="str">
        <f>INDEX('Brown tagset'!$B:$B,MATCH(IF(ISERROR(FIND("-",Q164)),IF(ISERROR(FIND("+",Q164)),Q164,LEFT(Q164,FIND("+",Q164)-1)),LEFT(Q164,FIND("-",Q164)-1)),'Brown tagset'!$A:$A,0))</f>
        <v>possessive personal pronoun (my, our)</v>
      </c>
      <c r="S164" s="7"/>
      <c r="T164" s="7" t="str">
        <f>INDEX('Brown-Universal mapping'!$B:$B,MATCH(Q164,'Brown-Universal mapping'!$A:$A,0))</f>
        <v>DET</v>
      </c>
      <c r="U164" s="7">
        <f t="shared" si="24"/>
        <v>1</v>
      </c>
      <c r="V164" s="7">
        <f t="shared" si="25"/>
        <v>1</v>
      </c>
      <c r="X164" s="12" t="s">
        <v>21</v>
      </c>
      <c r="Y164" s="7" t="s">
        <v>291</v>
      </c>
      <c r="Z164" s="7" t="str">
        <f>INDEX('Brown tagset'!$B:$B,MATCH(IF(ISERROR(FIND("-",Y164)),IF(ISERROR(FIND("+",Y164)),Y164,LEFT(Y164,FIND("+",Y164)-1)),LEFT(Y164,FIND("-",Y164)-1)),'Brown tagset'!$A:$A,0))</f>
        <v>possessive personal pronoun (my, our)</v>
      </c>
      <c r="AA164" s="7"/>
      <c r="AB164" s="7" t="str">
        <f>INDEX('Brown-Universal mapping'!$B:$B,MATCH(Y164,'Brown-Universal mapping'!$A:$A,0))</f>
        <v>DET</v>
      </c>
      <c r="AC164" s="7">
        <f t="shared" si="28"/>
        <v>1</v>
      </c>
      <c r="AD164" s="7">
        <f t="shared" si="29"/>
        <v>1</v>
      </c>
      <c r="AF164" s="9" t="s">
        <v>22</v>
      </c>
      <c r="AG164" s="9" t="str">
        <f>INDEX('Brown tagset'!$B:$B,MATCH(IF(ISERROR(FIND("-",AF164)),IF(ISERROR(FIND("+",AF164)),AF164,LEFT(AF164,FIND("+",AF164)-1)),LEFT(AF164,FIND("-",AF164)-1)),'Brown tagset'!$A:$A,0))</f>
        <v>possessive personal pronoun (my, our)</v>
      </c>
      <c r="AH164" s="9" t="s">
        <v>2</v>
      </c>
      <c r="AI164" s="9" t="str">
        <f>INDEX('Brown-Universal mapping'!$B:$B,MATCH(AF164,'Brown-Universal mapping'!$A:$A,0))</f>
        <v>DET</v>
      </c>
      <c r="AJ164" s="9">
        <f t="shared" si="26"/>
        <v>1</v>
      </c>
      <c r="AK164" s="9">
        <f t="shared" si="27"/>
        <v>1</v>
      </c>
      <c r="AM164" s="6">
        <f t="shared" si="30"/>
        <v>3</v>
      </c>
      <c r="AN164" s="6">
        <f t="shared" si="31"/>
        <v>3</v>
      </c>
      <c r="AP164" s="6" t="str">
        <f t="shared" si="32"/>
        <v>possessive personal pronoun (my, our)3</v>
      </c>
    </row>
    <row r="165" spans="1:42" x14ac:dyDescent="0.25">
      <c r="A165" s="29" t="s">
        <v>30</v>
      </c>
      <c r="B165" s="29"/>
      <c r="D165" s="3" t="s">
        <v>31</v>
      </c>
      <c r="E165" s="3" t="str">
        <f>INDEX('Brown tagset'!$B:$B,MATCH(IF(ISERROR(FIND("-",D165)),IF(ISERROR(FIND("+",D165)),D165,LEFT(D165,FIND("+",D165)-1)),LEFT(D165,FIND("-",D165)-1)),'Brown tagset'!$A:$A,0))</f>
        <v>plural noun</v>
      </c>
      <c r="F165" s="3"/>
      <c r="G165" s="3" t="str">
        <f>INDEX('Brown-Universal mapping'!$B:$B,MATCH(D165,'Brown-Universal mapping'!$A:$A,0))</f>
        <v>NOUN</v>
      </c>
      <c r="I165" s="5" t="s">
        <v>31</v>
      </c>
      <c r="J165" s="5" t="str">
        <f>INDEX('Brown tagset'!$B:$B,MATCH(IF(ISERROR(FIND("-",I165)),IF(ISERROR(FIND("+",I165)),I165,LEFT(I165,FIND("+",I165)-1)),LEFT(I165,FIND("-",I165)-1)),'Brown tagset'!$A:$A,0))</f>
        <v>plural noun</v>
      </c>
      <c r="K165" s="5" t="s">
        <v>13</v>
      </c>
      <c r="L165" s="5" t="str">
        <f>INDEX('Brown-Universal mapping'!$B:$B,MATCH(I165,'Brown-Universal mapping'!$A:$A,0))</f>
        <v>NOUN</v>
      </c>
      <c r="M165" s="5">
        <f t="shared" si="22"/>
        <v>1</v>
      </c>
      <c r="N165" s="5">
        <f t="shared" si="23"/>
        <v>1</v>
      </c>
      <c r="P165" s="12" t="s">
        <v>30</v>
      </c>
      <c r="Q165" s="7" t="s">
        <v>295</v>
      </c>
      <c r="R165" s="7" t="str">
        <f>INDEX('Brown tagset'!$B:$B,MATCH(IF(ISERROR(FIND("-",Q165)),IF(ISERROR(FIND("+",Q165)),Q165,LEFT(Q165,FIND("+",Q165)-1)),LEFT(Q165,FIND("-",Q165)-1)),'Brown tagset'!$A:$A,0))</f>
        <v>plural noun</v>
      </c>
      <c r="S165" s="7"/>
      <c r="T165" s="7" t="str">
        <f>INDEX('Brown-Universal mapping'!$B:$B,MATCH(Q165,'Brown-Universal mapping'!$A:$A,0))</f>
        <v>NOUN</v>
      </c>
      <c r="U165" s="7">
        <f t="shared" si="24"/>
        <v>1</v>
      </c>
      <c r="V165" s="7">
        <f t="shared" si="25"/>
        <v>1</v>
      </c>
      <c r="X165" s="12" t="s">
        <v>30</v>
      </c>
      <c r="Y165" s="7" t="s">
        <v>295</v>
      </c>
      <c r="Z165" s="7" t="str">
        <f>INDEX('Brown tagset'!$B:$B,MATCH(IF(ISERROR(FIND("-",Y165)),IF(ISERROR(FIND("+",Y165)),Y165,LEFT(Y165,FIND("+",Y165)-1)),LEFT(Y165,FIND("-",Y165)-1)),'Brown tagset'!$A:$A,0))</f>
        <v>plural noun</v>
      </c>
      <c r="AA165" s="7"/>
      <c r="AB165" s="7" t="str">
        <f>INDEX('Brown-Universal mapping'!$B:$B,MATCH(Y165,'Brown-Universal mapping'!$A:$A,0))</f>
        <v>NOUN</v>
      </c>
      <c r="AC165" s="7">
        <f t="shared" si="28"/>
        <v>1</v>
      </c>
      <c r="AD165" s="7">
        <f t="shared" si="29"/>
        <v>1</v>
      </c>
      <c r="AF165" s="9" t="s">
        <v>31</v>
      </c>
      <c r="AG165" s="9" t="str">
        <f>INDEX('Brown tagset'!$B:$B,MATCH(IF(ISERROR(FIND("-",AF165)),IF(ISERROR(FIND("+",AF165)),AF165,LEFT(AF165,FIND("+",AF165)-1)),LEFT(AF165,FIND("-",AF165)-1)),'Brown tagset'!$A:$A,0))</f>
        <v>plural noun</v>
      </c>
      <c r="AH165" s="9" t="s">
        <v>13</v>
      </c>
      <c r="AI165" s="9" t="str">
        <f>INDEX('Brown-Universal mapping'!$B:$B,MATCH(AF165,'Brown-Universal mapping'!$A:$A,0))</f>
        <v>NOUN</v>
      </c>
      <c r="AJ165" s="9">
        <f t="shared" si="26"/>
        <v>1</v>
      </c>
      <c r="AK165" s="9">
        <f t="shared" si="27"/>
        <v>1</v>
      </c>
      <c r="AM165" s="6">
        <f t="shared" si="30"/>
        <v>3</v>
      </c>
      <c r="AN165" s="6">
        <f t="shared" si="31"/>
        <v>3</v>
      </c>
      <c r="AP165" s="6" t="str">
        <f t="shared" si="32"/>
        <v>plural noun3</v>
      </c>
    </row>
    <row r="166" spans="1:42" x14ac:dyDescent="0.25">
      <c r="A166" s="4" t="s">
        <v>158</v>
      </c>
      <c r="D166" s="3" t="s">
        <v>35</v>
      </c>
      <c r="E166" s="3" t="str">
        <f>INDEX('Brown tagset'!$B:$B,MATCH(IF(ISERROR(FIND("-",D166)),IF(ISERROR(FIND("+",D166)),D166,LEFT(D166,FIND("+",D166)-1)),LEFT(D166,FIND("-",D166)-1)),'Brown tagset'!$A:$A,0))</f>
        <v>verb, base form</v>
      </c>
      <c r="F166" s="3"/>
      <c r="G166" s="3" t="str">
        <f>INDEX('Brown-Universal mapping'!$B:$B,MATCH(D166,'Brown-Universal mapping'!$A:$A,0))</f>
        <v>VERB</v>
      </c>
      <c r="I166" s="5" t="s">
        <v>59</v>
      </c>
      <c r="J166" s="5" t="str">
        <f>INDEX('Brown tagset'!$B:$B,MATCH(IF(ISERROR(FIND("-",I166)),IF(ISERROR(FIND("+",I166)),I166,LEFT(I166,FIND("+",I166)-1)),LEFT(I166,FIND("-",I166)-1)),'Brown tagset'!$A:$A,0))</f>
        <v>preposition</v>
      </c>
      <c r="K166" s="5" t="s">
        <v>60</v>
      </c>
      <c r="L166" s="5" t="str">
        <f>INDEX('Brown-Universal mapping'!$B:$B,MATCH(I166,'Brown-Universal mapping'!$A:$A,0))</f>
        <v>ADP</v>
      </c>
      <c r="M166" s="5">
        <f t="shared" si="22"/>
        <v>0</v>
      </c>
      <c r="N166" s="5">
        <f t="shared" si="23"/>
        <v>0</v>
      </c>
      <c r="P166" s="12" t="s">
        <v>158</v>
      </c>
      <c r="Q166" s="7" t="s">
        <v>296</v>
      </c>
      <c r="R166" s="7" t="str">
        <f>INDEX('Brown tagset'!$B:$B,MATCH(IF(ISERROR(FIND("-",Q166)),IF(ISERROR(FIND("+",Q166)),Q166,LEFT(Q166,FIND("+",Q166)-1)),LEFT(Q166,FIND("-",Q166)-1)),'Brown tagset'!$A:$A,0))</f>
        <v>verb, base form</v>
      </c>
      <c r="S166" s="7"/>
      <c r="T166" s="7" t="str">
        <f>INDEX('Brown-Universal mapping'!$B:$B,MATCH(Q166,'Brown-Universal mapping'!$A:$A,0))</f>
        <v>VERB</v>
      </c>
      <c r="U166" s="7">
        <f t="shared" si="24"/>
        <v>1</v>
      </c>
      <c r="V166" s="7">
        <f t="shared" si="25"/>
        <v>1</v>
      </c>
      <c r="X166" s="12" t="s">
        <v>158</v>
      </c>
      <c r="Y166" s="7" t="s">
        <v>296</v>
      </c>
      <c r="Z166" s="7" t="str">
        <f>INDEX('Brown tagset'!$B:$B,MATCH(IF(ISERROR(FIND("-",Y166)),IF(ISERROR(FIND("+",Y166)),Y166,LEFT(Y166,FIND("+",Y166)-1)),LEFT(Y166,FIND("-",Y166)-1)),'Brown tagset'!$A:$A,0))</f>
        <v>verb, base form</v>
      </c>
      <c r="AA166" s="7"/>
      <c r="AB166" s="7" t="str">
        <f>INDEX('Brown-Universal mapping'!$B:$B,MATCH(Y166,'Brown-Universal mapping'!$A:$A,0))</f>
        <v>VERB</v>
      </c>
      <c r="AC166" s="7">
        <f t="shared" si="28"/>
        <v>1</v>
      </c>
      <c r="AD166" s="7">
        <f t="shared" si="29"/>
        <v>1</v>
      </c>
      <c r="AF166" s="9" t="s">
        <v>35</v>
      </c>
      <c r="AG166" s="9" t="str">
        <f>INDEX('Brown tagset'!$B:$B,MATCH(IF(ISERROR(FIND("-",AF166)),IF(ISERROR(FIND("+",AF166)),AF166,LEFT(AF166,FIND("+",AF166)-1)),LEFT(AF166,FIND("-",AF166)-1)),'Brown tagset'!$A:$A,0))</f>
        <v>verb, base form</v>
      </c>
      <c r="AH166" s="9" t="s">
        <v>10</v>
      </c>
      <c r="AI166" s="9" t="str">
        <f>INDEX('Brown-Universal mapping'!$B:$B,MATCH(AF166,'Brown-Universal mapping'!$A:$A,0))</f>
        <v>VERB</v>
      </c>
      <c r="AJ166" s="9">
        <f t="shared" si="26"/>
        <v>1</v>
      </c>
      <c r="AK166" s="9">
        <f t="shared" si="27"/>
        <v>1</v>
      </c>
      <c r="AM166" s="6">
        <f t="shared" si="30"/>
        <v>2</v>
      </c>
      <c r="AN166" s="6">
        <f t="shared" si="31"/>
        <v>2</v>
      </c>
      <c r="AP166" s="6" t="str">
        <f t="shared" si="32"/>
        <v>verb, base form2</v>
      </c>
    </row>
    <row r="167" spans="1:42" x14ac:dyDescent="0.25">
      <c r="A167" s="29" t="s">
        <v>159</v>
      </c>
      <c r="B167" s="29"/>
      <c r="D167" s="3" t="s">
        <v>113</v>
      </c>
      <c r="E167" s="3" t="str">
        <f>INDEX('Brown tagset'!$B:$B,MATCH(IF(ISERROR(FIND("-",D167)),IF(ISERROR(FIND("+",D167)),D167,LEFT(D167,FIND("+",D167)-1)),LEFT(D167,FIND("-",D167)-1)),'Brown tagset'!$A:$A,0))</f>
        <v>objective personal pronoun (me, him, it, them)</v>
      </c>
      <c r="F167" s="3"/>
      <c r="G167" s="3" t="str">
        <f>INDEX('Brown-Universal mapping'!$B:$B,MATCH(D167,'Brown-Universal mapping'!$A:$A,0))</f>
        <v>PRON</v>
      </c>
      <c r="I167" s="5" t="s">
        <v>113</v>
      </c>
      <c r="J167" s="5" t="str">
        <f>INDEX('Brown tagset'!$B:$B,MATCH(IF(ISERROR(FIND("-",I167)),IF(ISERROR(FIND("+",I167)),I167,LEFT(I167,FIND("+",I167)-1)),LEFT(I167,FIND("-",I167)-1)),'Brown tagset'!$A:$A,0))</f>
        <v>objective personal pronoun (me, him, it, them)</v>
      </c>
      <c r="K167" s="5" t="s">
        <v>2</v>
      </c>
      <c r="L167" s="5" t="str">
        <f>INDEX('Brown-Universal mapping'!$B:$B,MATCH(I167,'Brown-Universal mapping'!$A:$A,0))</f>
        <v>PRON</v>
      </c>
      <c r="M167" s="5">
        <f t="shared" si="22"/>
        <v>1</v>
      </c>
      <c r="N167" s="5">
        <f t="shared" si="23"/>
        <v>1</v>
      </c>
      <c r="P167" s="12" t="s">
        <v>159</v>
      </c>
      <c r="Q167" s="7" t="s">
        <v>316</v>
      </c>
      <c r="R167" s="7" t="str">
        <f>INDEX('Brown tagset'!$B:$B,MATCH(IF(ISERROR(FIND("-",Q167)),IF(ISERROR(FIND("+",Q167)),Q167,LEFT(Q167,FIND("+",Q167)-1)),LEFT(Q167,FIND("-",Q167)-1)),'Brown tagset'!$A:$A,0))</f>
        <v>objective personal pronoun (me, him, it, them)</v>
      </c>
      <c r="S167" s="7"/>
      <c r="T167" s="7" t="str">
        <f>INDEX('Brown-Universal mapping'!$B:$B,MATCH(Q167,'Brown-Universal mapping'!$A:$A,0))</f>
        <v>PRON</v>
      </c>
      <c r="U167" s="7">
        <f t="shared" si="24"/>
        <v>1</v>
      </c>
      <c r="V167" s="7">
        <f t="shared" si="25"/>
        <v>1</v>
      </c>
      <c r="X167" s="12" t="s">
        <v>159</v>
      </c>
      <c r="Y167" s="7" t="s">
        <v>316</v>
      </c>
      <c r="Z167" s="7" t="str">
        <f>INDEX('Brown tagset'!$B:$B,MATCH(IF(ISERROR(FIND("-",Y167)),IF(ISERROR(FIND("+",Y167)),Y167,LEFT(Y167,FIND("+",Y167)-1)),LEFT(Y167,FIND("-",Y167)-1)),'Brown tagset'!$A:$A,0))</f>
        <v>objective personal pronoun (me, him, it, them)</v>
      </c>
      <c r="AA167" s="7"/>
      <c r="AB167" s="7" t="str">
        <f>INDEX('Brown-Universal mapping'!$B:$B,MATCH(Y167,'Brown-Universal mapping'!$A:$A,0))</f>
        <v>PRON</v>
      </c>
      <c r="AC167" s="7">
        <f t="shared" si="28"/>
        <v>1</v>
      </c>
      <c r="AD167" s="7">
        <f t="shared" si="29"/>
        <v>1</v>
      </c>
      <c r="AF167" s="9" t="s">
        <v>113</v>
      </c>
      <c r="AG167" s="9" t="str">
        <f>INDEX('Brown tagset'!$B:$B,MATCH(IF(ISERROR(FIND("-",AF167)),IF(ISERROR(FIND("+",AF167)),AF167,LEFT(AF167,FIND("+",AF167)-1)),LEFT(AF167,FIND("-",AF167)-1)),'Brown tagset'!$A:$A,0))</f>
        <v>objective personal pronoun (me, him, it, them)</v>
      </c>
      <c r="AH167" s="9" t="s">
        <v>2</v>
      </c>
      <c r="AI167" s="9" t="str">
        <f>INDEX('Brown-Universal mapping'!$B:$B,MATCH(AF167,'Brown-Universal mapping'!$A:$A,0))</f>
        <v>PRON</v>
      </c>
      <c r="AJ167" s="9">
        <f t="shared" si="26"/>
        <v>1</v>
      </c>
      <c r="AK167" s="9">
        <f t="shared" si="27"/>
        <v>1</v>
      </c>
      <c r="AM167" s="6">
        <f t="shared" si="30"/>
        <v>3</v>
      </c>
      <c r="AN167" s="6">
        <f t="shared" si="31"/>
        <v>3</v>
      </c>
      <c r="AP167" s="6" t="str">
        <f t="shared" si="32"/>
        <v>objective personal pronoun (me, him, it, them)3</v>
      </c>
    </row>
    <row r="168" spans="1:42" x14ac:dyDescent="0.25">
      <c r="A168" s="4" t="s">
        <v>160</v>
      </c>
      <c r="D168" s="3" t="s">
        <v>161</v>
      </c>
      <c r="E168" s="3" t="str">
        <f>INDEX('Brown tagset'!$B:$B,MATCH(IF(ISERROR(FIND("-",D168)),IF(ISERROR(FIND("+",D168)),D168,LEFT(D168,FIND("+",D168)-1)),LEFT(D168,FIND("-",D168)-1)),'Brown tagset'!$A:$A,0))</f>
        <v>adverb/particle (about, off, up)</v>
      </c>
      <c r="F168" s="3"/>
      <c r="G168" s="3" t="str">
        <f>INDEX('Brown-Universal mapping'!$B:$B,MATCH(D168,'Brown-Universal mapping'!$A:$A,0))</f>
        <v>PRT</v>
      </c>
      <c r="I168" s="5" t="s">
        <v>59</v>
      </c>
      <c r="J168" s="5" t="str">
        <f>INDEX('Brown tagset'!$B:$B,MATCH(IF(ISERROR(FIND("-",I168)),IF(ISERROR(FIND("+",I168)),I168,LEFT(I168,FIND("+",I168)-1)),LEFT(I168,FIND("-",I168)-1)),'Brown tagset'!$A:$A,0))</f>
        <v>preposition</v>
      </c>
      <c r="K168" s="5" t="s">
        <v>60</v>
      </c>
      <c r="L168" s="5" t="str">
        <f>INDEX('Brown-Universal mapping'!$B:$B,MATCH(I168,'Brown-Universal mapping'!$A:$A,0))</f>
        <v>ADP</v>
      </c>
      <c r="M168" s="5">
        <f t="shared" si="22"/>
        <v>0</v>
      </c>
      <c r="N168" s="5">
        <f t="shared" si="23"/>
        <v>0</v>
      </c>
      <c r="P168" s="12" t="s">
        <v>160</v>
      </c>
      <c r="Q168" s="7" t="s">
        <v>124</v>
      </c>
      <c r="R168" s="7" t="str">
        <f>INDEX('Brown tagset'!$B:$B,MATCH(IF(ISERROR(FIND("-",Q168)),IF(ISERROR(FIND("+",Q168)),Q168,LEFT(Q168,FIND("+",Q168)-1)),LEFT(Q168,FIND("-",Q168)-1)),'Brown tagset'!$A:$A,0))</f>
        <v>preposition</v>
      </c>
      <c r="S168" s="7"/>
      <c r="T168" s="7" t="str">
        <f>INDEX('Brown-Universal mapping'!$B:$B,MATCH(Q168,'Brown-Universal mapping'!$A:$A,0))</f>
        <v>ADP</v>
      </c>
      <c r="U168" s="7">
        <f t="shared" si="24"/>
        <v>0</v>
      </c>
      <c r="V168" s="7">
        <f t="shared" si="25"/>
        <v>0</v>
      </c>
      <c r="X168" s="12" t="s">
        <v>160</v>
      </c>
      <c r="Y168" s="7" t="s">
        <v>124</v>
      </c>
      <c r="Z168" s="7" t="str">
        <f>INDEX('Brown tagset'!$B:$B,MATCH(IF(ISERROR(FIND("-",Y168)),IF(ISERROR(FIND("+",Y168)),Y168,LEFT(Y168,FIND("+",Y168)-1)),LEFT(Y168,FIND("-",Y168)-1)),'Brown tagset'!$A:$A,0))</f>
        <v>preposition</v>
      </c>
      <c r="AA168" s="7"/>
      <c r="AB168" s="7" t="str">
        <f>INDEX('Brown-Universal mapping'!$B:$B,MATCH(Y168,'Brown-Universal mapping'!$A:$A,0))</f>
        <v>ADP</v>
      </c>
      <c r="AC168" s="7">
        <f t="shared" si="28"/>
        <v>0</v>
      </c>
      <c r="AD168" s="7">
        <f t="shared" si="29"/>
        <v>0</v>
      </c>
      <c r="AF168" s="9" t="s">
        <v>161</v>
      </c>
      <c r="AG168" s="9" t="str">
        <f>INDEX('Brown tagset'!$B:$B,MATCH(IF(ISERROR(FIND("-",AF168)),IF(ISERROR(FIND("+",AF168)),AF168,LEFT(AF168,FIND("+",AF168)-1)),LEFT(AF168,FIND("-",AF168)-1)),'Brown tagset'!$A:$A,0))</f>
        <v>adverb/particle (about, off, up)</v>
      </c>
      <c r="AH168" s="9" t="s">
        <v>18</v>
      </c>
      <c r="AI168" s="9" t="str">
        <f>INDEX('Brown-Universal mapping'!$B:$B,MATCH(AF168,'Brown-Universal mapping'!$A:$A,0))</f>
        <v>PRT</v>
      </c>
      <c r="AJ168" s="9">
        <f t="shared" si="26"/>
        <v>1</v>
      </c>
      <c r="AK168" s="9">
        <f t="shared" si="27"/>
        <v>1</v>
      </c>
      <c r="AM168" s="6">
        <f t="shared" si="30"/>
        <v>1</v>
      </c>
      <c r="AN168" s="6">
        <f t="shared" si="31"/>
        <v>1</v>
      </c>
      <c r="AP168" s="6" t="str">
        <f t="shared" si="32"/>
        <v>adverb/particle (about, off, up)1</v>
      </c>
    </row>
    <row r="169" spans="1:42" x14ac:dyDescent="0.25">
      <c r="A169" s="29" t="s">
        <v>16</v>
      </c>
      <c r="B169" s="29"/>
      <c r="D169" s="3" t="s">
        <v>59</v>
      </c>
      <c r="E169" s="3" t="str">
        <f>INDEX('Brown tagset'!$B:$B,MATCH(IF(ISERROR(FIND("-",D169)),IF(ISERROR(FIND("+",D169)),D169,LEFT(D169,FIND("+",D169)-1)),LEFT(D169,FIND("-",D169)-1)),'Brown tagset'!$A:$A,0))</f>
        <v>preposition</v>
      </c>
      <c r="F169" s="3"/>
      <c r="G169" s="3" t="str">
        <f>INDEX('Brown-Universal mapping'!$B:$B,MATCH(D169,'Brown-Universal mapping'!$A:$A,0))</f>
        <v>ADP</v>
      </c>
      <c r="I169" s="5" t="s">
        <v>59</v>
      </c>
      <c r="J169" s="5" t="str">
        <f>INDEX('Brown tagset'!$B:$B,MATCH(IF(ISERROR(FIND("-",I169)),IF(ISERROR(FIND("+",I169)),I169,LEFT(I169,FIND("+",I169)-1)),LEFT(I169,FIND("-",I169)-1)),'Brown tagset'!$A:$A,0))</f>
        <v>preposition</v>
      </c>
      <c r="K169" s="5" t="s">
        <v>60</v>
      </c>
      <c r="L169" s="5" t="str">
        <f>INDEX('Brown-Universal mapping'!$B:$B,MATCH(I169,'Brown-Universal mapping'!$A:$A,0))</f>
        <v>ADP</v>
      </c>
      <c r="M169" s="5">
        <f t="shared" si="22"/>
        <v>1</v>
      </c>
      <c r="N169" s="5">
        <f t="shared" si="23"/>
        <v>1</v>
      </c>
      <c r="P169" s="12" t="s">
        <v>16</v>
      </c>
      <c r="Q169" s="7" t="s">
        <v>124</v>
      </c>
      <c r="R169" s="7" t="str">
        <f>INDEX('Brown tagset'!$B:$B,MATCH(IF(ISERROR(FIND("-",Q169)),IF(ISERROR(FIND("+",Q169)),Q169,LEFT(Q169,FIND("+",Q169)-1)),LEFT(Q169,FIND("-",Q169)-1)),'Brown tagset'!$A:$A,0))</f>
        <v>preposition</v>
      </c>
      <c r="S169" s="7"/>
      <c r="T169" s="7" t="str">
        <f>INDEX('Brown-Universal mapping'!$B:$B,MATCH(Q169,'Brown-Universal mapping'!$A:$A,0))</f>
        <v>ADP</v>
      </c>
      <c r="U169" s="7">
        <f t="shared" si="24"/>
        <v>1</v>
      </c>
      <c r="V169" s="7">
        <f t="shared" si="25"/>
        <v>1</v>
      </c>
      <c r="X169" s="12" t="s">
        <v>16</v>
      </c>
      <c r="Y169" s="7" t="s">
        <v>124</v>
      </c>
      <c r="Z169" s="7" t="str">
        <f>INDEX('Brown tagset'!$B:$B,MATCH(IF(ISERROR(FIND("-",Y169)),IF(ISERROR(FIND("+",Y169)),Y169,LEFT(Y169,FIND("+",Y169)-1)),LEFT(Y169,FIND("-",Y169)-1)),'Brown tagset'!$A:$A,0))</f>
        <v>preposition</v>
      </c>
      <c r="AA169" s="7"/>
      <c r="AB169" s="7" t="str">
        <f>INDEX('Brown-Universal mapping'!$B:$B,MATCH(Y169,'Brown-Universal mapping'!$A:$A,0))</f>
        <v>ADP</v>
      </c>
      <c r="AC169" s="7">
        <f t="shared" si="28"/>
        <v>1</v>
      </c>
      <c r="AD169" s="7">
        <f t="shared" si="29"/>
        <v>1</v>
      </c>
      <c r="AF169" s="9" t="s">
        <v>59</v>
      </c>
      <c r="AG169" s="9" t="str">
        <f>INDEX('Brown tagset'!$B:$B,MATCH(IF(ISERROR(FIND("-",AF169)),IF(ISERROR(FIND("+",AF169)),AF169,LEFT(AF169,FIND("+",AF169)-1)),LEFT(AF169,FIND("-",AF169)-1)),'Brown tagset'!$A:$A,0))</f>
        <v>preposition</v>
      </c>
      <c r="AH169" s="9" t="s">
        <v>60</v>
      </c>
      <c r="AI169" s="9" t="str">
        <f>INDEX('Brown-Universal mapping'!$B:$B,MATCH(AF169,'Brown-Universal mapping'!$A:$A,0))</f>
        <v>ADP</v>
      </c>
      <c r="AJ169" s="9">
        <f t="shared" si="26"/>
        <v>1</v>
      </c>
      <c r="AK169" s="9">
        <f t="shared" si="27"/>
        <v>1</v>
      </c>
      <c r="AM169" s="6">
        <f t="shared" si="30"/>
        <v>3</v>
      </c>
      <c r="AN169" s="6">
        <f t="shared" si="31"/>
        <v>3</v>
      </c>
      <c r="AP169" s="6" t="str">
        <f t="shared" si="32"/>
        <v>preposition3</v>
      </c>
    </row>
    <row r="170" spans="1:42" x14ac:dyDescent="0.25">
      <c r="A170" s="29" t="s">
        <v>162</v>
      </c>
      <c r="B170" s="29"/>
      <c r="D170" s="3" t="s">
        <v>163</v>
      </c>
      <c r="E170" s="3" t="str">
        <f>INDEX('Brown tagset'!$B:$B,MATCH(IF(ISERROR(FIND("-",D170)),IF(ISERROR(FIND("+",D170)),D170,LEFT(D170,FIND("+",D170)-1)),LEFT(D170,FIND("-",D170)-1)),'Brown tagset'!$A:$A,0))</f>
        <v>comparative adjective</v>
      </c>
      <c r="F170" s="3"/>
      <c r="G170" s="3" t="str">
        <f>INDEX('Brown-Universal mapping'!$B:$B,MATCH(D170,'Brown-Universal mapping'!$A:$A,0))</f>
        <v>ADJ</v>
      </c>
      <c r="I170" s="5" t="s">
        <v>163</v>
      </c>
      <c r="J170" s="5" t="str">
        <f>INDEX('Brown tagset'!$B:$B,MATCH(IF(ISERROR(FIND("-",I170)),IF(ISERROR(FIND("+",I170)),I170,LEFT(I170,FIND("+",I170)-1)),LEFT(I170,FIND("-",I170)-1)),'Brown tagset'!$A:$A,0))</f>
        <v>comparative adjective</v>
      </c>
      <c r="K170" s="5" t="s">
        <v>46</v>
      </c>
      <c r="L170" s="5" t="str">
        <f>INDEX('Brown-Universal mapping'!$B:$B,MATCH(I170,'Brown-Universal mapping'!$A:$A,0))</f>
        <v>ADJ</v>
      </c>
      <c r="M170" s="5">
        <f t="shared" si="22"/>
        <v>1</v>
      </c>
      <c r="N170" s="5">
        <f t="shared" si="23"/>
        <v>1</v>
      </c>
      <c r="P170" s="12" t="s">
        <v>162</v>
      </c>
      <c r="Q170" s="7" t="s">
        <v>323</v>
      </c>
      <c r="R170" s="7" t="str">
        <f>INDEX('Brown tagset'!$B:$B,MATCH(IF(ISERROR(FIND("-",Q170)),IF(ISERROR(FIND("+",Q170)),Q170,LEFT(Q170,FIND("+",Q170)-1)),LEFT(Q170,FIND("-",Q170)-1)),'Brown tagset'!$A:$A,0))</f>
        <v>comparative adjective</v>
      </c>
      <c r="S170" s="7"/>
      <c r="T170" s="7" t="str">
        <f>INDEX('Brown-Universal mapping'!$B:$B,MATCH(Q170,'Brown-Universal mapping'!$A:$A,0))</f>
        <v>ADJ</v>
      </c>
      <c r="U170" s="7">
        <f t="shared" si="24"/>
        <v>1</v>
      </c>
      <c r="V170" s="7">
        <f t="shared" si="25"/>
        <v>1</v>
      </c>
      <c r="X170" s="12" t="s">
        <v>162</v>
      </c>
      <c r="Y170" s="7" t="s">
        <v>323</v>
      </c>
      <c r="Z170" s="7" t="str">
        <f>INDEX('Brown tagset'!$B:$B,MATCH(IF(ISERROR(FIND("-",Y170)),IF(ISERROR(FIND("+",Y170)),Y170,LEFT(Y170,FIND("+",Y170)-1)),LEFT(Y170,FIND("-",Y170)-1)),'Brown tagset'!$A:$A,0))</f>
        <v>comparative adjective</v>
      </c>
      <c r="AA170" s="7"/>
      <c r="AB170" s="7" t="str">
        <f>INDEX('Brown-Universal mapping'!$B:$B,MATCH(Y170,'Brown-Universal mapping'!$A:$A,0))</f>
        <v>ADJ</v>
      </c>
      <c r="AC170" s="7">
        <f t="shared" si="28"/>
        <v>1</v>
      </c>
      <c r="AD170" s="7">
        <f t="shared" si="29"/>
        <v>1</v>
      </c>
      <c r="AF170" s="9" t="s">
        <v>163</v>
      </c>
      <c r="AG170" s="9" t="str">
        <f>INDEX('Brown tagset'!$B:$B,MATCH(IF(ISERROR(FIND("-",AF170)),IF(ISERROR(FIND("+",AF170)),AF170,LEFT(AF170,FIND("+",AF170)-1)),LEFT(AF170,FIND("-",AF170)-1)),'Brown tagset'!$A:$A,0))</f>
        <v>comparative adjective</v>
      </c>
      <c r="AH170" s="9" t="s">
        <v>46</v>
      </c>
      <c r="AI170" s="9" t="str">
        <f>INDEX('Brown-Universal mapping'!$B:$B,MATCH(AF170,'Brown-Universal mapping'!$A:$A,0))</f>
        <v>ADJ</v>
      </c>
      <c r="AJ170" s="9">
        <f t="shared" si="26"/>
        <v>1</v>
      </c>
      <c r="AK170" s="9">
        <f t="shared" si="27"/>
        <v>1</v>
      </c>
      <c r="AM170" s="6">
        <f t="shared" si="30"/>
        <v>3</v>
      </c>
      <c r="AN170" s="6">
        <f t="shared" si="31"/>
        <v>3</v>
      </c>
      <c r="AP170" s="6" t="str">
        <f t="shared" si="32"/>
        <v>comparative adjective3</v>
      </c>
    </row>
    <row r="171" spans="1:42" x14ac:dyDescent="0.25">
      <c r="A171" s="29" t="s">
        <v>133</v>
      </c>
      <c r="B171" s="29"/>
      <c r="D171" s="3" t="s">
        <v>26</v>
      </c>
      <c r="E171" s="3" t="str">
        <f>INDEX('Brown tagset'!$B:$B,MATCH(IF(ISERROR(FIND("-",D171)),IF(ISERROR(FIND("+",D171)),D171,LEFT(D171,FIND("+",D171)-1)),LEFT(D171,FIND("-",D171)-1)),'Brown tagset'!$A:$A,0))</f>
        <v>coordinating conjunction (and, or)</v>
      </c>
      <c r="F171" s="3"/>
      <c r="G171" s="3" t="str">
        <f>INDEX('Brown-Universal mapping'!$B:$B,MATCH(D171,'Brown-Universal mapping'!$A:$A,0))</f>
        <v>CONJ</v>
      </c>
      <c r="I171" s="5" t="s">
        <v>26</v>
      </c>
      <c r="J171" s="5" t="str">
        <f>INDEX('Brown tagset'!$B:$B,MATCH(IF(ISERROR(FIND("-",I171)),IF(ISERROR(FIND("+",I171)),I171,LEFT(I171,FIND("+",I171)-1)),LEFT(I171,FIND("-",I171)-1)),'Brown tagset'!$A:$A,0))</f>
        <v>coordinating conjunction (and, or)</v>
      </c>
      <c r="K171" s="5" t="s">
        <v>27</v>
      </c>
      <c r="L171" s="5" t="str">
        <f>INDEX('Brown-Universal mapping'!$B:$B,MATCH(I171,'Brown-Universal mapping'!$A:$A,0))</f>
        <v>CONJ</v>
      </c>
      <c r="M171" s="5">
        <f t="shared" si="22"/>
        <v>1</v>
      </c>
      <c r="N171" s="5">
        <f t="shared" si="23"/>
        <v>1</v>
      </c>
      <c r="P171" s="12" t="s">
        <v>133</v>
      </c>
      <c r="Q171" s="7" t="s">
        <v>293</v>
      </c>
      <c r="R171" s="7" t="str">
        <f>INDEX('Brown tagset'!$B:$B,MATCH(IF(ISERROR(FIND("-",Q171)),IF(ISERROR(FIND("+",Q171)),Q171,LEFT(Q171,FIND("+",Q171)-1)),LEFT(Q171,FIND("-",Q171)-1)),'Brown tagset'!$A:$A,0))</f>
        <v>coordinating conjunction (and, or)</v>
      </c>
      <c r="S171" s="7"/>
      <c r="T171" s="7" t="str">
        <f>INDEX('Brown-Universal mapping'!$B:$B,MATCH(Q171,'Brown-Universal mapping'!$A:$A,0))</f>
        <v>CONJ</v>
      </c>
      <c r="U171" s="7">
        <f t="shared" si="24"/>
        <v>1</v>
      </c>
      <c r="V171" s="7">
        <f t="shared" si="25"/>
        <v>1</v>
      </c>
      <c r="X171" s="12" t="s">
        <v>133</v>
      </c>
      <c r="Y171" s="7" t="s">
        <v>293</v>
      </c>
      <c r="Z171" s="7" t="str">
        <f>INDEX('Brown tagset'!$B:$B,MATCH(IF(ISERROR(FIND("-",Y171)),IF(ISERROR(FIND("+",Y171)),Y171,LEFT(Y171,FIND("+",Y171)-1)),LEFT(Y171,FIND("-",Y171)-1)),'Brown tagset'!$A:$A,0))</f>
        <v>coordinating conjunction (and, or)</v>
      </c>
      <c r="AA171" s="7"/>
      <c r="AB171" s="7" t="str">
        <f>INDEX('Brown-Universal mapping'!$B:$B,MATCH(Y171,'Brown-Universal mapping'!$A:$A,0))</f>
        <v>CONJ</v>
      </c>
      <c r="AC171" s="7">
        <f t="shared" si="28"/>
        <v>1</v>
      </c>
      <c r="AD171" s="7">
        <f t="shared" si="29"/>
        <v>1</v>
      </c>
      <c r="AF171" s="9" t="s">
        <v>26</v>
      </c>
      <c r="AG171" s="9" t="str">
        <f>INDEX('Brown tagset'!$B:$B,MATCH(IF(ISERROR(FIND("-",AF171)),IF(ISERROR(FIND("+",AF171)),AF171,LEFT(AF171,FIND("+",AF171)-1)),LEFT(AF171,FIND("-",AF171)-1)),'Brown tagset'!$A:$A,0))</f>
        <v>coordinating conjunction (and, or)</v>
      </c>
      <c r="AH171" s="9" t="s">
        <v>27</v>
      </c>
      <c r="AI171" s="9" t="str">
        <f>INDEX('Brown-Universal mapping'!$B:$B,MATCH(AF171,'Brown-Universal mapping'!$A:$A,0))</f>
        <v>CONJ</v>
      </c>
      <c r="AJ171" s="9">
        <f t="shared" si="26"/>
        <v>1</v>
      </c>
      <c r="AK171" s="9">
        <f t="shared" si="27"/>
        <v>1</v>
      </c>
      <c r="AM171" s="6">
        <f t="shared" si="30"/>
        <v>3</v>
      </c>
      <c r="AN171" s="6">
        <f t="shared" si="31"/>
        <v>3</v>
      </c>
      <c r="AP171" s="6" t="str">
        <f t="shared" si="32"/>
        <v>coordinating conjunction (and, or)3</v>
      </c>
    </row>
    <row r="172" spans="1:42" x14ac:dyDescent="0.25">
      <c r="A172" s="29" t="s">
        <v>162</v>
      </c>
      <c r="B172" s="29"/>
      <c r="D172" s="3" t="s">
        <v>163</v>
      </c>
      <c r="E172" s="3" t="str">
        <f>INDEX('Brown tagset'!$B:$B,MATCH(IF(ISERROR(FIND("-",D172)),IF(ISERROR(FIND("+",D172)),D172,LEFT(D172,FIND("+",D172)-1)),LEFT(D172,FIND("-",D172)-1)),'Brown tagset'!$A:$A,0))</f>
        <v>comparative adjective</v>
      </c>
      <c r="F172" s="3"/>
      <c r="G172" s="3" t="str">
        <f>INDEX('Brown-Universal mapping'!$B:$B,MATCH(D172,'Brown-Universal mapping'!$A:$A,0))</f>
        <v>ADJ</v>
      </c>
      <c r="I172" s="5" t="s">
        <v>163</v>
      </c>
      <c r="J172" s="5" t="str">
        <f>INDEX('Brown tagset'!$B:$B,MATCH(IF(ISERROR(FIND("-",I172)),IF(ISERROR(FIND("+",I172)),I172,LEFT(I172,FIND("+",I172)-1)),LEFT(I172,FIND("-",I172)-1)),'Brown tagset'!$A:$A,0))</f>
        <v>comparative adjective</v>
      </c>
      <c r="K172" s="5" t="s">
        <v>46</v>
      </c>
      <c r="L172" s="5" t="str">
        <f>INDEX('Brown-Universal mapping'!$B:$B,MATCH(I172,'Brown-Universal mapping'!$A:$A,0))</f>
        <v>ADJ</v>
      </c>
      <c r="M172" s="5">
        <f t="shared" si="22"/>
        <v>1</v>
      </c>
      <c r="N172" s="5">
        <f t="shared" si="23"/>
        <v>1</v>
      </c>
      <c r="P172" s="12" t="s">
        <v>162</v>
      </c>
      <c r="Q172" s="7" t="s">
        <v>323</v>
      </c>
      <c r="R172" s="7" t="str">
        <f>INDEX('Brown tagset'!$B:$B,MATCH(IF(ISERROR(FIND("-",Q172)),IF(ISERROR(FIND("+",Q172)),Q172,LEFT(Q172,FIND("+",Q172)-1)),LEFT(Q172,FIND("-",Q172)-1)),'Brown tagset'!$A:$A,0))</f>
        <v>comparative adjective</v>
      </c>
      <c r="S172" s="7"/>
      <c r="T172" s="7" t="str">
        <f>INDEX('Brown-Universal mapping'!$B:$B,MATCH(Q172,'Brown-Universal mapping'!$A:$A,0))</f>
        <v>ADJ</v>
      </c>
      <c r="U172" s="7">
        <f t="shared" si="24"/>
        <v>1</v>
      </c>
      <c r="V172" s="7">
        <f t="shared" si="25"/>
        <v>1</v>
      </c>
      <c r="X172" s="12" t="s">
        <v>162</v>
      </c>
      <c r="Y172" s="7" t="s">
        <v>323</v>
      </c>
      <c r="Z172" s="7" t="str">
        <f>INDEX('Brown tagset'!$B:$B,MATCH(IF(ISERROR(FIND("-",Y172)),IF(ISERROR(FIND("+",Y172)),Y172,LEFT(Y172,FIND("+",Y172)-1)),LEFT(Y172,FIND("-",Y172)-1)),'Brown tagset'!$A:$A,0))</f>
        <v>comparative adjective</v>
      </c>
      <c r="AA172" s="7"/>
      <c r="AB172" s="7" t="str">
        <f>INDEX('Brown-Universal mapping'!$B:$B,MATCH(Y172,'Brown-Universal mapping'!$A:$A,0))</f>
        <v>ADJ</v>
      </c>
      <c r="AC172" s="7">
        <f t="shared" si="28"/>
        <v>1</v>
      </c>
      <c r="AD172" s="7">
        <f t="shared" si="29"/>
        <v>1</v>
      </c>
      <c r="AF172" s="9" t="s">
        <v>163</v>
      </c>
      <c r="AG172" s="9" t="str">
        <f>INDEX('Brown tagset'!$B:$B,MATCH(IF(ISERROR(FIND("-",AF172)),IF(ISERROR(FIND("+",AF172)),AF172,LEFT(AF172,FIND("+",AF172)-1)),LEFT(AF172,FIND("-",AF172)-1)),'Brown tagset'!$A:$A,0))</f>
        <v>comparative adjective</v>
      </c>
      <c r="AH172" s="9" t="s">
        <v>46</v>
      </c>
      <c r="AI172" s="9" t="str">
        <f>INDEX('Brown-Universal mapping'!$B:$B,MATCH(AF172,'Brown-Universal mapping'!$A:$A,0))</f>
        <v>ADJ</v>
      </c>
      <c r="AJ172" s="9">
        <f t="shared" si="26"/>
        <v>1</v>
      </c>
      <c r="AK172" s="9">
        <f t="shared" si="27"/>
        <v>1</v>
      </c>
      <c r="AM172" s="6">
        <f t="shared" si="30"/>
        <v>3</v>
      </c>
      <c r="AN172" s="6">
        <f t="shared" si="31"/>
        <v>3</v>
      </c>
      <c r="AP172" s="6" t="str">
        <f t="shared" si="32"/>
        <v>comparative adjective3</v>
      </c>
    </row>
    <row r="173" spans="1:42" x14ac:dyDescent="0.25">
      <c r="A173" s="29" t="s">
        <v>164</v>
      </c>
      <c r="B173" s="29"/>
      <c r="D173" s="3" t="s">
        <v>31</v>
      </c>
      <c r="E173" s="3" t="str">
        <f>INDEX('Brown tagset'!$B:$B,MATCH(IF(ISERROR(FIND("-",D173)),IF(ISERROR(FIND("+",D173)),D173,LEFT(D173,FIND("+",D173)-1)),LEFT(D173,FIND("-",D173)-1)),'Brown tagset'!$A:$A,0))</f>
        <v>plural noun</v>
      </c>
      <c r="F173" s="3"/>
      <c r="G173" s="3" t="str">
        <f>INDEX('Brown-Universal mapping'!$B:$B,MATCH(D173,'Brown-Universal mapping'!$A:$A,0))</f>
        <v>NOUN</v>
      </c>
      <c r="I173" s="5" t="s">
        <v>31</v>
      </c>
      <c r="J173" s="5" t="str">
        <f>INDEX('Brown tagset'!$B:$B,MATCH(IF(ISERROR(FIND("-",I173)),IF(ISERROR(FIND("+",I173)),I173,LEFT(I173,FIND("+",I173)-1)),LEFT(I173,FIND("-",I173)-1)),'Brown tagset'!$A:$A,0))</f>
        <v>plural noun</v>
      </c>
      <c r="K173" s="5" t="s">
        <v>13</v>
      </c>
      <c r="L173" s="5" t="str">
        <f>INDEX('Brown-Universal mapping'!$B:$B,MATCH(I173,'Brown-Universal mapping'!$A:$A,0))</f>
        <v>NOUN</v>
      </c>
      <c r="M173" s="5">
        <f t="shared" si="22"/>
        <v>1</v>
      </c>
      <c r="N173" s="5">
        <f t="shared" si="23"/>
        <v>1</v>
      </c>
      <c r="P173" s="12" t="s">
        <v>164</v>
      </c>
      <c r="Q173" s="7" t="s">
        <v>295</v>
      </c>
      <c r="R173" s="7" t="str">
        <f>INDEX('Brown tagset'!$B:$B,MATCH(IF(ISERROR(FIND("-",Q173)),IF(ISERROR(FIND("+",Q173)),Q173,LEFT(Q173,FIND("+",Q173)-1)),LEFT(Q173,FIND("-",Q173)-1)),'Brown tagset'!$A:$A,0))</f>
        <v>plural noun</v>
      </c>
      <c r="S173" s="7"/>
      <c r="T173" s="7" t="str">
        <f>INDEX('Brown-Universal mapping'!$B:$B,MATCH(Q173,'Brown-Universal mapping'!$A:$A,0))</f>
        <v>NOUN</v>
      </c>
      <c r="U173" s="7">
        <f t="shared" si="24"/>
        <v>1</v>
      </c>
      <c r="V173" s="7">
        <f t="shared" si="25"/>
        <v>1</v>
      </c>
      <c r="X173" s="12" t="s">
        <v>164</v>
      </c>
      <c r="Y173" s="7" t="s">
        <v>295</v>
      </c>
      <c r="Z173" s="7" t="str">
        <f>INDEX('Brown tagset'!$B:$B,MATCH(IF(ISERROR(FIND("-",Y173)),IF(ISERROR(FIND("+",Y173)),Y173,LEFT(Y173,FIND("+",Y173)-1)),LEFT(Y173,FIND("-",Y173)-1)),'Brown tagset'!$A:$A,0))</f>
        <v>plural noun</v>
      </c>
      <c r="AA173" s="7"/>
      <c r="AB173" s="7" t="str">
        <f>INDEX('Brown-Universal mapping'!$B:$B,MATCH(Y173,'Brown-Universal mapping'!$A:$A,0))</f>
        <v>NOUN</v>
      </c>
      <c r="AC173" s="7">
        <f t="shared" si="28"/>
        <v>1</v>
      </c>
      <c r="AD173" s="7">
        <f t="shared" si="29"/>
        <v>1</v>
      </c>
      <c r="AF173" s="9" t="s">
        <v>31</v>
      </c>
      <c r="AG173" s="9" t="str">
        <f>INDEX('Brown tagset'!$B:$B,MATCH(IF(ISERROR(FIND("-",AF173)),IF(ISERROR(FIND("+",AF173)),AF173,LEFT(AF173,FIND("+",AF173)-1)),LEFT(AF173,FIND("-",AF173)-1)),'Brown tagset'!$A:$A,0))</f>
        <v>plural noun</v>
      </c>
      <c r="AH173" s="9" t="s">
        <v>13</v>
      </c>
      <c r="AI173" s="9" t="str">
        <f>INDEX('Brown-Universal mapping'!$B:$B,MATCH(AF173,'Brown-Universal mapping'!$A:$A,0))</f>
        <v>NOUN</v>
      </c>
      <c r="AJ173" s="9">
        <f t="shared" si="26"/>
        <v>1</v>
      </c>
      <c r="AK173" s="9">
        <f t="shared" si="27"/>
        <v>1</v>
      </c>
      <c r="AM173" s="6">
        <f t="shared" si="30"/>
        <v>3</v>
      </c>
      <c r="AN173" s="6">
        <f t="shared" si="31"/>
        <v>3</v>
      </c>
      <c r="AP173" s="6" t="str">
        <f t="shared" si="32"/>
        <v>plural noun3</v>
      </c>
    </row>
    <row r="174" spans="1:42" x14ac:dyDescent="0.25">
      <c r="A174" s="29" t="s">
        <v>38</v>
      </c>
      <c r="B174" s="29"/>
      <c r="D174" s="3" t="s">
        <v>38</v>
      </c>
      <c r="E174" s="3" t="str">
        <f>INDEX('Brown tagset'!$B:$B,MATCH(IF(ISERROR(FIND("-",D174)),IF(ISERROR(FIND("+",D174)),D174,LEFT(D174,FIND("+",D174)-1)),LEFT(D174,FIND("-",D174)-1)),'Brown tagset'!$A:$A,0))</f>
        <v>sentence (. ; ? *)</v>
      </c>
      <c r="F174" s="3"/>
      <c r="G174" s="3" t="str">
        <f>INDEX('Brown-Universal mapping'!$B:$B,MATCH(D174,'Brown-Universal mapping'!$A:$A,0))</f>
        <v>.</v>
      </c>
      <c r="I174" s="5" t="s">
        <v>38</v>
      </c>
      <c r="J174" s="5" t="str">
        <f>INDEX('Brown tagset'!$B:$B,MATCH(IF(ISERROR(FIND("-",I174)),IF(ISERROR(FIND("+",I174)),I174,LEFT(I174,FIND("+",I174)-1)),LEFT(I174,FIND("-",I174)-1)),'Brown tagset'!$A:$A,0))</f>
        <v>sentence (. ; ? *)</v>
      </c>
      <c r="K174" s="5" t="s">
        <v>38</v>
      </c>
      <c r="L174" s="5" t="str">
        <f>INDEX('Brown-Universal mapping'!$B:$B,MATCH(I174,'Brown-Universal mapping'!$A:$A,0))</f>
        <v>.</v>
      </c>
      <c r="M174" s="5">
        <f t="shared" si="22"/>
        <v>1</v>
      </c>
      <c r="N174" s="5">
        <f t="shared" si="23"/>
        <v>1</v>
      </c>
      <c r="P174" s="12" t="s">
        <v>38</v>
      </c>
      <c r="Q174" s="7" t="s">
        <v>38</v>
      </c>
      <c r="R174" s="7" t="str">
        <f>INDEX('Brown tagset'!$B:$B,MATCH(IF(ISERROR(FIND("-",Q174)),IF(ISERROR(FIND("+",Q174)),Q174,LEFT(Q174,FIND("+",Q174)-1)),LEFT(Q174,FIND("-",Q174)-1)),'Brown tagset'!$A:$A,0))</f>
        <v>sentence (. ; ? *)</v>
      </c>
      <c r="S174" s="7"/>
      <c r="T174" s="7" t="str">
        <f>INDEX('Brown-Universal mapping'!$B:$B,MATCH(Q174,'Brown-Universal mapping'!$A:$A,0))</f>
        <v>.</v>
      </c>
      <c r="U174" s="7">
        <f t="shared" si="24"/>
        <v>1</v>
      </c>
      <c r="V174" s="7">
        <f t="shared" si="25"/>
        <v>1</v>
      </c>
      <c r="X174" s="12" t="s">
        <v>38</v>
      </c>
      <c r="Y174" s="7" t="s">
        <v>38</v>
      </c>
      <c r="Z174" s="7" t="str">
        <f>INDEX('Brown tagset'!$B:$B,MATCH(IF(ISERROR(FIND("-",Y174)),IF(ISERROR(FIND("+",Y174)),Y174,LEFT(Y174,FIND("+",Y174)-1)),LEFT(Y174,FIND("-",Y174)-1)),'Brown tagset'!$A:$A,0))</f>
        <v>sentence (. ; ? *)</v>
      </c>
      <c r="AA174" s="7"/>
      <c r="AB174" s="7" t="str">
        <f>INDEX('Brown-Universal mapping'!$B:$B,MATCH(Y174,'Brown-Universal mapping'!$A:$A,0))</f>
        <v>.</v>
      </c>
      <c r="AC174" s="7">
        <f t="shared" si="28"/>
        <v>1</v>
      </c>
      <c r="AD174" s="7">
        <f t="shared" si="29"/>
        <v>1</v>
      </c>
      <c r="AF174" s="9" t="s">
        <v>38</v>
      </c>
      <c r="AG174" s="9" t="str">
        <f>INDEX('Brown tagset'!$B:$B,MATCH(IF(ISERROR(FIND("-",AF174)),IF(ISERROR(FIND("+",AF174)),AF174,LEFT(AF174,FIND("+",AF174)-1)),LEFT(AF174,FIND("-",AF174)-1)),'Brown tagset'!$A:$A,0))</f>
        <v>sentence (. ; ? *)</v>
      </c>
      <c r="AH174" s="9" t="s">
        <v>38</v>
      </c>
      <c r="AI174" s="9" t="str">
        <f>INDEX('Brown-Universal mapping'!$B:$B,MATCH(AF174,'Brown-Universal mapping'!$A:$A,0))</f>
        <v>.</v>
      </c>
      <c r="AJ174" s="9">
        <f t="shared" si="26"/>
        <v>1</v>
      </c>
      <c r="AK174" s="9">
        <f t="shared" si="27"/>
        <v>1</v>
      </c>
      <c r="AM174" s="6">
        <f t="shared" si="30"/>
        <v>3</v>
      </c>
      <c r="AN174" s="6">
        <f t="shared" si="31"/>
        <v>3</v>
      </c>
      <c r="AP174" s="6" t="str">
        <f t="shared" si="32"/>
        <v>sentence (. ; ? *)3</v>
      </c>
    </row>
    <row r="175" spans="1:42" x14ac:dyDescent="0.25">
      <c r="A175" s="29" t="s">
        <v>165</v>
      </c>
      <c r="B175" s="29"/>
      <c r="C175" s="4">
        <v>1</v>
      </c>
      <c r="D175" s="3" t="s">
        <v>4</v>
      </c>
      <c r="E175" s="3" t="str">
        <f>INDEX('Brown tagset'!$B:$B,MATCH(IF(ISERROR(FIND("-",D175)),IF(ISERROR(FIND("+",D175)),D175,LEFT(D175,FIND("+",D175)-1)),LEFT(D175,FIND("-",D175)-1)),'Brown tagset'!$A:$A,0))</f>
        <v>adverb</v>
      </c>
      <c r="F175" s="3"/>
      <c r="G175" s="3" t="str">
        <f>INDEX('Brown-Universal mapping'!$B:$B,MATCH(D175,'Brown-Universal mapping'!$A:$A,0))</f>
        <v>ADV</v>
      </c>
      <c r="I175" s="5" t="s">
        <v>4</v>
      </c>
      <c r="J175" s="5" t="str">
        <f>INDEX('Brown tagset'!$B:$B,MATCH(IF(ISERROR(FIND("-",I175)),IF(ISERROR(FIND("+",I175)),I175,LEFT(I175,FIND("+",I175)-1)),LEFT(I175,FIND("-",I175)-1)),'Brown tagset'!$A:$A,0))</f>
        <v>adverb</v>
      </c>
      <c r="K175" s="5" t="s">
        <v>5</v>
      </c>
      <c r="L175" s="5" t="str">
        <f>INDEX('Brown-Universal mapping'!$B:$B,MATCH(I175,'Brown-Universal mapping'!$A:$A,0))</f>
        <v>ADV</v>
      </c>
      <c r="M175" s="5">
        <f t="shared" si="22"/>
        <v>1</v>
      </c>
      <c r="N175" s="5">
        <f t="shared" si="23"/>
        <v>1</v>
      </c>
      <c r="P175" s="12" t="s">
        <v>165</v>
      </c>
      <c r="Q175" s="7" t="s">
        <v>288</v>
      </c>
      <c r="R175" s="7" t="str">
        <f>INDEX('Brown tagset'!$B:$B,MATCH(IF(ISERROR(FIND("-",Q175)),IF(ISERROR(FIND("+",Q175)),Q175,LEFT(Q175,FIND("+",Q175)-1)),LEFT(Q175,FIND("-",Q175)-1)),'Brown tagset'!$A:$A,0))</f>
        <v>adverb</v>
      </c>
      <c r="S175" s="7"/>
      <c r="T175" s="7" t="str">
        <f>INDEX('Brown-Universal mapping'!$B:$B,MATCH(Q175,'Brown-Universal mapping'!$A:$A,0))</f>
        <v>ADV</v>
      </c>
      <c r="U175" s="7">
        <f t="shared" si="24"/>
        <v>1</v>
      </c>
      <c r="V175" s="7">
        <f t="shared" si="25"/>
        <v>1</v>
      </c>
      <c r="X175" s="12" t="s">
        <v>165</v>
      </c>
      <c r="Y175" s="7" t="s">
        <v>288</v>
      </c>
      <c r="Z175" s="7" t="str">
        <f>INDEX('Brown tagset'!$B:$B,MATCH(IF(ISERROR(FIND("-",Y175)),IF(ISERROR(FIND("+",Y175)),Y175,LEFT(Y175,FIND("+",Y175)-1)),LEFT(Y175,FIND("-",Y175)-1)),'Brown tagset'!$A:$A,0))</f>
        <v>adverb</v>
      </c>
      <c r="AA175" s="7"/>
      <c r="AB175" s="7" t="str">
        <f>INDEX('Brown-Universal mapping'!$B:$B,MATCH(Y175,'Brown-Universal mapping'!$A:$A,0))</f>
        <v>ADV</v>
      </c>
      <c r="AC175" s="7">
        <f t="shared" si="28"/>
        <v>1</v>
      </c>
      <c r="AD175" s="7">
        <f t="shared" si="29"/>
        <v>1</v>
      </c>
      <c r="AF175" s="9" t="s">
        <v>4</v>
      </c>
      <c r="AG175" s="9" t="str">
        <f>INDEX('Brown tagset'!$B:$B,MATCH(IF(ISERROR(FIND("-",AF175)),IF(ISERROR(FIND("+",AF175)),AF175,LEFT(AF175,FIND("+",AF175)-1)),LEFT(AF175,FIND("-",AF175)-1)),'Brown tagset'!$A:$A,0))</f>
        <v>adverb</v>
      </c>
      <c r="AH175" s="9" t="s">
        <v>5</v>
      </c>
      <c r="AI175" s="9" t="str">
        <f>INDEX('Brown-Universal mapping'!$B:$B,MATCH(AF175,'Brown-Universal mapping'!$A:$A,0))</f>
        <v>ADV</v>
      </c>
      <c r="AJ175" s="9">
        <f t="shared" si="26"/>
        <v>1</v>
      </c>
      <c r="AK175" s="9">
        <f t="shared" si="27"/>
        <v>1</v>
      </c>
      <c r="AM175" s="6">
        <f t="shared" si="30"/>
        <v>3</v>
      </c>
      <c r="AN175" s="6">
        <f t="shared" si="31"/>
        <v>3</v>
      </c>
      <c r="AP175" s="6" t="str">
        <f t="shared" si="32"/>
        <v>adverb3</v>
      </c>
    </row>
    <row r="176" spans="1:42" x14ac:dyDescent="0.25">
      <c r="A176" s="29" t="s">
        <v>81</v>
      </c>
      <c r="B176" s="29"/>
      <c r="D176" s="3" t="s">
        <v>59</v>
      </c>
      <c r="E176" s="3" t="str">
        <f>INDEX('Brown tagset'!$B:$B,MATCH(IF(ISERROR(FIND("-",D176)),IF(ISERROR(FIND("+",D176)),D176,LEFT(D176,FIND("+",D176)-1)),LEFT(D176,FIND("-",D176)-1)),'Brown tagset'!$A:$A,0))</f>
        <v>preposition</v>
      </c>
      <c r="F176" s="3"/>
      <c r="G176" s="3" t="str">
        <f>INDEX('Brown-Universal mapping'!$B:$B,MATCH(D176,'Brown-Universal mapping'!$A:$A,0))</f>
        <v>ADP</v>
      </c>
      <c r="I176" s="5" t="s">
        <v>59</v>
      </c>
      <c r="J176" s="5" t="str">
        <f>INDEX('Brown tagset'!$B:$B,MATCH(IF(ISERROR(FIND("-",I176)),IF(ISERROR(FIND("+",I176)),I176,LEFT(I176,FIND("+",I176)-1)),LEFT(I176,FIND("-",I176)-1)),'Brown tagset'!$A:$A,0))</f>
        <v>preposition</v>
      </c>
      <c r="K176" s="5" t="s">
        <v>60</v>
      </c>
      <c r="L176" s="5" t="str">
        <f>INDEX('Brown-Universal mapping'!$B:$B,MATCH(I176,'Brown-Universal mapping'!$A:$A,0))</f>
        <v>ADP</v>
      </c>
      <c r="M176" s="5">
        <f t="shared" si="22"/>
        <v>1</v>
      </c>
      <c r="N176" s="5">
        <f t="shared" si="23"/>
        <v>1</v>
      </c>
      <c r="P176" s="12" t="s">
        <v>81</v>
      </c>
      <c r="Q176" s="7" t="s">
        <v>124</v>
      </c>
      <c r="R176" s="7" t="str">
        <f>INDEX('Brown tagset'!$B:$B,MATCH(IF(ISERROR(FIND("-",Q176)),IF(ISERROR(FIND("+",Q176)),Q176,LEFT(Q176,FIND("+",Q176)-1)),LEFT(Q176,FIND("-",Q176)-1)),'Brown tagset'!$A:$A,0))</f>
        <v>preposition</v>
      </c>
      <c r="S176" s="7"/>
      <c r="T176" s="7" t="str">
        <f>INDEX('Brown-Universal mapping'!$B:$B,MATCH(Q176,'Brown-Universal mapping'!$A:$A,0))</f>
        <v>ADP</v>
      </c>
      <c r="U176" s="7">
        <f t="shared" si="24"/>
        <v>1</v>
      </c>
      <c r="V176" s="7">
        <f t="shared" si="25"/>
        <v>1</v>
      </c>
      <c r="X176" s="12" t="s">
        <v>81</v>
      </c>
      <c r="Y176" s="7" t="s">
        <v>124</v>
      </c>
      <c r="Z176" s="7" t="str">
        <f>INDEX('Brown tagset'!$B:$B,MATCH(IF(ISERROR(FIND("-",Y176)),IF(ISERROR(FIND("+",Y176)),Y176,LEFT(Y176,FIND("+",Y176)-1)),LEFT(Y176,FIND("-",Y176)-1)),'Brown tagset'!$A:$A,0))</f>
        <v>preposition</v>
      </c>
      <c r="AA176" s="7"/>
      <c r="AB176" s="7" t="str">
        <f>INDEX('Brown-Universal mapping'!$B:$B,MATCH(Y176,'Brown-Universal mapping'!$A:$A,0))</f>
        <v>ADP</v>
      </c>
      <c r="AC176" s="7">
        <f t="shared" si="28"/>
        <v>1</v>
      </c>
      <c r="AD176" s="7">
        <f t="shared" si="29"/>
        <v>1</v>
      </c>
      <c r="AF176" s="9" t="s">
        <v>59</v>
      </c>
      <c r="AG176" s="9" t="str">
        <f>INDEX('Brown tagset'!$B:$B,MATCH(IF(ISERROR(FIND("-",AF176)),IF(ISERROR(FIND("+",AF176)),AF176,LEFT(AF176,FIND("+",AF176)-1)),LEFT(AF176,FIND("-",AF176)-1)),'Brown tagset'!$A:$A,0))</f>
        <v>preposition</v>
      </c>
      <c r="AH176" s="9" t="s">
        <v>60</v>
      </c>
      <c r="AI176" s="9" t="str">
        <f>INDEX('Brown-Universal mapping'!$B:$B,MATCH(AF176,'Brown-Universal mapping'!$A:$A,0))</f>
        <v>ADP</v>
      </c>
      <c r="AJ176" s="9">
        <f t="shared" si="26"/>
        <v>1</v>
      </c>
      <c r="AK176" s="9">
        <f t="shared" si="27"/>
        <v>1</v>
      </c>
      <c r="AM176" s="6">
        <f t="shared" si="30"/>
        <v>3</v>
      </c>
      <c r="AN176" s="6">
        <f t="shared" si="31"/>
        <v>3</v>
      </c>
      <c r="AP176" s="6" t="str">
        <f t="shared" si="32"/>
        <v>preposition3</v>
      </c>
    </row>
    <row r="177" spans="1:42" x14ac:dyDescent="0.25">
      <c r="A177" s="25" t="s">
        <v>166</v>
      </c>
      <c r="B177" s="25"/>
      <c r="D177" s="3" t="s">
        <v>9</v>
      </c>
      <c r="E177" s="3" t="str">
        <f>INDEX('Brown tagset'!$B:$B,MATCH(IF(ISERROR(FIND("-",D177)),IF(ISERROR(FIND("+",D177)),D177,LEFT(D177,FIND("+",D177)-1)),LEFT(D177,FIND("-",D177)-1)),'Brown tagset'!$A:$A,0))</f>
        <v>verb, present participle/gerund</v>
      </c>
      <c r="F177" s="3"/>
      <c r="G177" s="3" t="str">
        <f>INDEX('Brown-Universal mapping'!$B:$B,MATCH(D177,'Brown-Universal mapping'!$A:$A,0))</f>
        <v>VERB</v>
      </c>
      <c r="I177" s="5" t="s">
        <v>9</v>
      </c>
      <c r="J177" s="5" t="str">
        <f>INDEX('Brown tagset'!$B:$B,MATCH(IF(ISERROR(FIND("-",I177)),IF(ISERROR(FIND("+",I177)),I177,LEFT(I177,FIND("+",I177)-1)),LEFT(I177,FIND("-",I177)-1)),'Brown tagset'!$A:$A,0))</f>
        <v>verb, present participle/gerund</v>
      </c>
      <c r="K177" s="5" t="s">
        <v>10</v>
      </c>
      <c r="L177" s="5" t="str">
        <f>INDEX('Brown-Universal mapping'!$B:$B,MATCH(I177,'Brown-Universal mapping'!$A:$A,0))</f>
        <v>VERB</v>
      </c>
      <c r="M177" s="5">
        <f t="shared" si="22"/>
        <v>1</v>
      </c>
      <c r="N177" s="5">
        <f t="shared" si="23"/>
        <v>1</v>
      </c>
      <c r="P177" s="12" t="s">
        <v>166</v>
      </c>
      <c r="Q177" s="7" t="s">
        <v>292</v>
      </c>
      <c r="R177" s="7" t="str">
        <f>INDEX('Brown tagset'!$B:$B,MATCH(IF(ISERROR(FIND("-",Q177)),IF(ISERROR(FIND("+",Q177)),Q177,LEFT(Q177,FIND("+",Q177)-1)),LEFT(Q177,FIND("-",Q177)-1)),'Brown tagset'!$A:$A,0))</f>
        <v>verb, present participle/gerund</v>
      </c>
      <c r="S177" s="7"/>
      <c r="T177" s="7" t="str">
        <f>INDEX('Brown-Universal mapping'!$B:$B,MATCH(Q177,'Brown-Universal mapping'!$A:$A,0))</f>
        <v>VERB</v>
      </c>
      <c r="U177" s="7">
        <f t="shared" si="24"/>
        <v>1</v>
      </c>
      <c r="V177" s="7">
        <f t="shared" si="25"/>
        <v>1</v>
      </c>
      <c r="X177" s="12" t="s">
        <v>166</v>
      </c>
      <c r="Y177" s="7" t="s">
        <v>292</v>
      </c>
      <c r="Z177" s="7" t="str">
        <f>INDEX('Brown tagset'!$B:$B,MATCH(IF(ISERROR(FIND("-",Y177)),IF(ISERROR(FIND("+",Y177)),Y177,LEFT(Y177,FIND("+",Y177)-1)),LEFT(Y177,FIND("-",Y177)-1)),'Brown tagset'!$A:$A,0))</f>
        <v>verb, present participle/gerund</v>
      </c>
      <c r="AA177" s="7"/>
      <c r="AB177" s="7" t="str">
        <f>INDEX('Brown-Universal mapping'!$B:$B,MATCH(Y177,'Brown-Universal mapping'!$A:$A,0))</f>
        <v>VERB</v>
      </c>
      <c r="AC177" s="7">
        <f t="shared" si="28"/>
        <v>1</v>
      </c>
      <c r="AD177" s="7">
        <f t="shared" si="29"/>
        <v>1</v>
      </c>
      <c r="AF177" s="9" t="s">
        <v>340</v>
      </c>
      <c r="AG177" s="9" t="str">
        <f>INDEX('Brown tagset'!$B:$B,MATCH(IF(ISERROR(FIND("-",AF177)),IF(ISERROR(FIND("+",AF177)),AF177,LEFT(AF177,FIND("+",AF177)-1)),LEFT(AF177,FIND("-",AF177)-1)),'Brown tagset'!$A:$A,0))</f>
        <v>unknown</v>
      </c>
      <c r="AH177" s="9" t="s">
        <v>2</v>
      </c>
      <c r="AI177" s="9" t="str">
        <f>INDEX('Brown-Universal mapping'!$B:$B,MATCH(AF177,'Brown-Universal mapping'!$A:$A,0))</f>
        <v>Unknown</v>
      </c>
      <c r="AJ177" s="9">
        <f t="shared" si="26"/>
        <v>0</v>
      </c>
      <c r="AK177" s="9">
        <f t="shared" si="27"/>
        <v>0</v>
      </c>
      <c r="AM177" s="6">
        <f t="shared" si="30"/>
        <v>2</v>
      </c>
      <c r="AN177" s="6">
        <f t="shared" si="31"/>
        <v>2</v>
      </c>
      <c r="AP177" s="6" t="str">
        <f t="shared" si="32"/>
        <v>unknown2</v>
      </c>
    </row>
    <row r="178" spans="1:42" x14ac:dyDescent="0.25">
      <c r="A178" s="29" t="s">
        <v>159</v>
      </c>
      <c r="B178" s="29"/>
      <c r="D178" s="3" t="s">
        <v>113</v>
      </c>
      <c r="E178" s="3" t="str">
        <f>INDEX('Brown tagset'!$B:$B,MATCH(IF(ISERROR(FIND("-",D178)),IF(ISERROR(FIND("+",D178)),D178,LEFT(D178,FIND("+",D178)-1)),LEFT(D178,FIND("-",D178)-1)),'Brown tagset'!$A:$A,0))</f>
        <v>objective personal pronoun (me, him, it, them)</v>
      </c>
      <c r="F178" s="3"/>
      <c r="G178" s="3" t="str">
        <f>INDEX('Brown-Universal mapping'!$B:$B,MATCH(D178,'Brown-Universal mapping'!$A:$A,0))</f>
        <v>PRON</v>
      </c>
      <c r="I178" s="5" t="s">
        <v>113</v>
      </c>
      <c r="J178" s="5" t="str">
        <f>INDEX('Brown tagset'!$B:$B,MATCH(IF(ISERROR(FIND("-",I178)),IF(ISERROR(FIND("+",I178)),I178,LEFT(I178,FIND("+",I178)-1)),LEFT(I178,FIND("-",I178)-1)),'Brown tagset'!$A:$A,0))</f>
        <v>objective personal pronoun (me, him, it, them)</v>
      </c>
      <c r="K178" s="5" t="s">
        <v>2</v>
      </c>
      <c r="L178" s="5" t="str">
        <f>INDEX('Brown-Universal mapping'!$B:$B,MATCH(I178,'Brown-Universal mapping'!$A:$A,0))</f>
        <v>PRON</v>
      </c>
      <c r="M178" s="5">
        <f t="shared" si="22"/>
        <v>1</v>
      </c>
      <c r="N178" s="5">
        <f t="shared" si="23"/>
        <v>1</v>
      </c>
      <c r="P178" s="12" t="s">
        <v>159</v>
      </c>
      <c r="Q178" s="7" t="s">
        <v>316</v>
      </c>
      <c r="R178" s="7" t="str">
        <f>INDEX('Brown tagset'!$B:$B,MATCH(IF(ISERROR(FIND("-",Q178)),IF(ISERROR(FIND("+",Q178)),Q178,LEFT(Q178,FIND("+",Q178)-1)),LEFT(Q178,FIND("-",Q178)-1)),'Brown tagset'!$A:$A,0))</f>
        <v>objective personal pronoun (me, him, it, them)</v>
      </c>
      <c r="S178" s="7"/>
      <c r="T178" s="7" t="str">
        <f>INDEX('Brown-Universal mapping'!$B:$B,MATCH(Q178,'Brown-Universal mapping'!$A:$A,0))</f>
        <v>PRON</v>
      </c>
      <c r="U178" s="7">
        <f t="shared" si="24"/>
        <v>1</v>
      </c>
      <c r="V178" s="7">
        <f t="shared" si="25"/>
        <v>1</v>
      </c>
      <c r="X178" s="12" t="s">
        <v>159</v>
      </c>
      <c r="Y178" s="7" t="s">
        <v>316</v>
      </c>
      <c r="Z178" s="7" t="str">
        <f>INDEX('Brown tagset'!$B:$B,MATCH(IF(ISERROR(FIND("-",Y178)),IF(ISERROR(FIND("+",Y178)),Y178,LEFT(Y178,FIND("+",Y178)-1)),LEFT(Y178,FIND("-",Y178)-1)),'Brown tagset'!$A:$A,0))</f>
        <v>objective personal pronoun (me, him, it, them)</v>
      </c>
      <c r="AA178" s="7"/>
      <c r="AB178" s="7" t="str">
        <f>INDEX('Brown-Universal mapping'!$B:$B,MATCH(Y178,'Brown-Universal mapping'!$A:$A,0))</f>
        <v>PRON</v>
      </c>
      <c r="AC178" s="7">
        <f t="shared" si="28"/>
        <v>1</v>
      </c>
      <c r="AD178" s="7">
        <f t="shared" si="29"/>
        <v>1</v>
      </c>
      <c r="AF178" s="9" t="s">
        <v>113</v>
      </c>
      <c r="AG178" s="9" t="str">
        <f>INDEX('Brown tagset'!$B:$B,MATCH(IF(ISERROR(FIND("-",AF178)),IF(ISERROR(FIND("+",AF178)),AF178,LEFT(AF178,FIND("+",AF178)-1)),LEFT(AF178,FIND("-",AF178)-1)),'Brown tagset'!$A:$A,0))</f>
        <v>objective personal pronoun (me, him, it, them)</v>
      </c>
      <c r="AH178" s="9" t="s">
        <v>2</v>
      </c>
      <c r="AI178" s="9" t="str">
        <f>INDEX('Brown-Universal mapping'!$B:$B,MATCH(AF178,'Brown-Universal mapping'!$A:$A,0))</f>
        <v>PRON</v>
      </c>
      <c r="AJ178" s="9">
        <f t="shared" si="26"/>
        <v>1</v>
      </c>
      <c r="AK178" s="9">
        <f t="shared" si="27"/>
        <v>1</v>
      </c>
      <c r="AM178" s="6">
        <f t="shared" si="30"/>
        <v>3</v>
      </c>
      <c r="AN178" s="6">
        <f t="shared" si="31"/>
        <v>3</v>
      </c>
      <c r="AP178" s="6" t="str">
        <f t="shared" si="32"/>
        <v>objective personal pronoun (me, him, it, them)3</v>
      </c>
    </row>
    <row r="179" spans="1:42" x14ac:dyDescent="0.25">
      <c r="A179" s="29" t="s">
        <v>16</v>
      </c>
      <c r="B179" s="29"/>
      <c r="D179" s="3" t="s">
        <v>17</v>
      </c>
      <c r="E179" s="3" t="str">
        <f>INDEX('Brown tagset'!$B:$B,MATCH(IF(ISERROR(FIND("-",D179)),IF(ISERROR(FIND("+",D179)),D179,LEFT(D179,FIND("+",D179)-1)),LEFT(D179,FIND("-",D179)-1)),'Brown tagset'!$A:$A,0))</f>
        <v>infinitive marker to</v>
      </c>
      <c r="F179" s="3"/>
      <c r="G179" s="3" t="str">
        <f>INDEX('Brown-Universal mapping'!$B:$B,MATCH(D179,'Brown-Universal mapping'!$A:$A,0))</f>
        <v>PRT</v>
      </c>
      <c r="I179" s="5" t="s">
        <v>17</v>
      </c>
      <c r="J179" s="5" t="str">
        <f>INDEX('Brown tagset'!$B:$B,MATCH(IF(ISERROR(FIND("-",I179)),IF(ISERROR(FIND("+",I179)),I179,LEFT(I179,FIND("+",I179)-1)),LEFT(I179,FIND("-",I179)-1)),'Brown tagset'!$A:$A,0))</f>
        <v>infinitive marker to</v>
      </c>
      <c r="K179" s="5" t="s">
        <v>18</v>
      </c>
      <c r="L179" s="5" t="str">
        <f>INDEX('Brown-Universal mapping'!$B:$B,MATCH(I179,'Brown-Universal mapping'!$A:$A,0))</f>
        <v>PRT</v>
      </c>
      <c r="M179" s="5">
        <f t="shared" si="22"/>
        <v>1</v>
      </c>
      <c r="N179" s="5">
        <f t="shared" si="23"/>
        <v>1</v>
      </c>
      <c r="P179" s="12" t="s">
        <v>16</v>
      </c>
      <c r="Q179" s="7" t="s">
        <v>16</v>
      </c>
      <c r="R179" s="7" t="str">
        <f>INDEX('Brown tagset'!$B:$B,MATCH(IF(ISERROR(FIND("-",Q179)),IF(ISERROR(FIND("+",Q179)),Q179,LEFT(Q179,FIND("+",Q179)-1)),LEFT(Q179,FIND("-",Q179)-1)),'Brown tagset'!$A:$A,0))</f>
        <v>infinitive marker to</v>
      </c>
      <c r="S179" s="7"/>
      <c r="T179" s="7" t="str">
        <f>INDEX('Brown-Universal mapping'!$B:$B,MATCH(Q179,'Brown-Universal mapping'!$A:$A,0))</f>
        <v>PRT</v>
      </c>
      <c r="U179" s="7">
        <f t="shared" si="24"/>
        <v>1</v>
      </c>
      <c r="V179" s="7">
        <f t="shared" si="25"/>
        <v>1</v>
      </c>
      <c r="X179" s="12" t="s">
        <v>16</v>
      </c>
      <c r="Y179" s="7" t="s">
        <v>16</v>
      </c>
      <c r="Z179" s="7" t="str">
        <f>INDEX('Brown tagset'!$B:$B,MATCH(IF(ISERROR(FIND("-",Y179)),IF(ISERROR(FIND("+",Y179)),Y179,LEFT(Y179,FIND("+",Y179)-1)),LEFT(Y179,FIND("-",Y179)-1)),'Brown tagset'!$A:$A,0))</f>
        <v>infinitive marker to</v>
      </c>
      <c r="AA179" s="7"/>
      <c r="AB179" s="7" t="str">
        <f>INDEX('Brown-Universal mapping'!$B:$B,MATCH(Y179,'Brown-Universal mapping'!$A:$A,0))</f>
        <v>PRT</v>
      </c>
      <c r="AC179" s="7">
        <f t="shared" si="28"/>
        <v>1</v>
      </c>
      <c r="AD179" s="7">
        <f t="shared" si="29"/>
        <v>1</v>
      </c>
      <c r="AF179" s="9" t="s">
        <v>17</v>
      </c>
      <c r="AG179" s="9" t="str">
        <f>INDEX('Brown tagset'!$B:$B,MATCH(IF(ISERROR(FIND("-",AF179)),IF(ISERROR(FIND("+",AF179)),AF179,LEFT(AF179,FIND("+",AF179)-1)),LEFT(AF179,FIND("-",AF179)-1)),'Brown tagset'!$A:$A,0))</f>
        <v>infinitive marker to</v>
      </c>
      <c r="AH179" s="9" t="s">
        <v>18</v>
      </c>
      <c r="AI179" s="9" t="str">
        <f>INDEX('Brown-Universal mapping'!$B:$B,MATCH(AF179,'Brown-Universal mapping'!$A:$A,0))</f>
        <v>PRT</v>
      </c>
      <c r="AJ179" s="9">
        <f t="shared" si="26"/>
        <v>1</v>
      </c>
      <c r="AK179" s="9">
        <f t="shared" si="27"/>
        <v>1</v>
      </c>
      <c r="AM179" s="6">
        <f t="shared" si="30"/>
        <v>3</v>
      </c>
      <c r="AN179" s="6">
        <f t="shared" si="31"/>
        <v>3</v>
      </c>
      <c r="AP179" s="6" t="str">
        <f t="shared" si="32"/>
        <v>infinitive marker to3</v>
      </c>
    </row>
    <row r="180" spans="1:42" x14ac:dyDescent="0.25">
      <c r="A180" s="29" t="s">
        <v>167</v>
      </c>
      <c r="B180" s="29"/>
      <c r="D180" s="3" t="s">
        <v>35</v>
      </c>
      <c r="E180" s="3" t="str">
        <f>INDEX('Brown tagset'!$B:$B,MATCH(IF(ISERROR(FIND("-",D180)),IF(ISERROR(FIND("+",D180)),D180,LEFT(D180,FIND("+",D180)-1)),LEFT(D180,FIND("-",D180)-1)),'Brown tagset'!$A:$A,0))</f>
        <v>verb, base form</v>
      </c>
      <c r="F180" s="3"/>
      <c r="G180" s="3" t="str">
        <f>INDEX('Brown-Universal mapping'!$B:$B,MATCH(D180,'Brown-Universal mapping'!$A:$A,0))</f>
        <v>VERB</v>
      </c>
      <c r="I180" s="5" t="s">
        <v>35</v>
      </c>
      <c r="J180" s="5" t="str">
        <f>INDEX('Brown tagset'!$B:$B,MATCH(IF(ISERROR(FIND("-",I180)),IF(ISERROR(FIND("+",I180)),I180,LEFT(I180,FIND("+",I180)-1)),LEFT(I180,FIND("-",I180)-1)),'Brown tagset'!$A:$A,0))</f>
        <v>verb, base form</v>
      </c>
      <c r="K180" s="5" t="s">
        <v>10</v>
      </c>
      <c r="L180" s="5" t="str">
        <f>INDEX('Brown-Universal mapping'!$B:$B,MATCH(I180,'Brown-Universal mapping'!$A:$A,0))</f>
        <v>VERB</v>
      </c>
      <c r="M180" s="5">
        <f t="shared" si="22"/>
        <v>1</v>
      </c>
      <c r="N180" s="5">
        <f t="shared" si="23"/>
        <v>1</v>
      </c>
      <c r="P180" s="12" t="s">
        <v>167</v>
      </c>
      <c r="Q180" s="7" t="s">
        <v>296</v>
      </c>
      <c r="R180" s="7" t="str">
        <f>INDEX('Brown tagset'!$B:$B,MATCH(IF(ISERROR(FIND("-",Q180)),IF(ISERROR(FIND("+",Q180)),Q180,LEFT(Q180,FIND("+",Q180)-1)),LEFT(Q180,FIND("-",Q180)-1)),'Brown tagset'!$A:$A,0))</f>
        <v>verb, base form</v>
      </c>
      <c r="S180" s="7"/>
      <c r="T180" s="7" t="str">
        <f>INDEX('Brown-Universal mapping'!$B:$B,MATCH(Q180,'Brown-Universal mapping'!$A:$A,0))</f>
        <v>VERB</v>
      </c>
      <c r="U180" s="7">
        <f t="shared" si="24"/>
        <v>1</v>
      </c>
      <c r="V180" s="7">
        <f t="shared" si="25"/>
        <v>1</v>
      </c>
      <c r="X180" s="12" t="s">
        <v>167</v>
      </c>
      <c r="Y180" s="7" t="s">
        <v>296</v>
      </c>
      <c r="Z180" s="7" t="str">
        <f>INDEX('Brown tagset'!$B:$B,MATCH(IF(ISERROR(FIND("-",Y180)),IF(ISERROR(FIND("+",Y180)),Y180,LEFT(Y180,FIND("+",Y180)-1)),LEFT(Y180,FIND("-",Y180)-1)),'Brown tagset'!$A:$A,0))</f>
        <v>verb, base form</v>
      </c>
      <c r="AA180" s="7"/>
      <c r="AB180" s="7" t="str">
        <f>INDEX('Brown-Universal mapping'!$B:$B,MATCH(Y180,'Brown-Universal mapping'!$A:$A,0))</f>
        <v>VERB</v>
      </c>
      <c r="AC180" s="7">
        <f t="shared" si="28"/>
        <v>1</v>
      </c>
      <c r="AD180" s="7">
        <f t="shared" si="29"/>
        <v>1</v>
      </c>
      <c r="AF180" s="9" t="s">
        <v>35</v>
      </c>
      <c r="AG180" s="9" t="str">
        <f>INDEX('Brown tagset'!$B:$B,MATCH(IF(ISERROR(FIND("-",AF180)),IF(ISERROR(FIND("+",AF180)),AF180,LEFT(AF180,FIND("+",AF180)-1)),LEFT(AF180,FIND("-",AF180)-1)),'Brown tagset'!$A:$A,0))</f>
        <v>verb, base form</v>
      </c>
      <c r="AH180" s="9" t="s">
        <v>10</v>
      </c>
      <c r="AI180" s="9" t="str">
        <f>INDEX('Brown-Universal mapping'!$B:$B,MATCH(AF180,'Brown-Universal mapping'!$A:$A,0))</f>
        <v>VERB</v>
      </c>
      <c r="AJ180" s="9">
        <f t="shared" si="26"/>
        <v>1</v>
      </c>
      <c r="AK180" s="9">
        <f t="shared" si="27"/>
        <v>1</v>
      </c>
      <c r="AM180" s="6">
        <f t="shared" si="30"/>
        <v>3</v>
      </c>
      <c r="AN180" s="6">
        <f t="shared" si="31"/>
        <v>3</v>
      </c>
      <c r="AP180" s="6" t="str">
        <f t="shared" si="32"/>
        <v>verb, base form3</v>
      </c>
    </row>
    <row r="181" spans="1:42" x14ac:dyDescent="0.25">
      <c r="A181" s="29" t="s">
        <v>90</v>
      </c>
      <c r="B181" s="29"/>
      <c r="D181" s="3" t="s">
        <v>7</v>
      </c>
      <c r="E181" s="3" t="str">
        <f>INDEX('Brown tagset'!$B:$B,MATCH(IF(ISERROR(FIND("-",D181)),IF(ISERROR(FIND("+",D181)),D181,LEFT(D181,FIND("+",D181)-1)),LEFT(D181,FIND("-",D181)-1)),'Brown tagset'!$A:$A,0))</f>
        <v>article (a, the, no)</v>
      </c>
      <c r="F181" s="3"/>
      <c r="G181" s="3" t="str">
        <f>INDEX('Brown-Universal mapping'!$B:$B,MATCH(D181,'Brown-Universal mapping'!$A:$A,0))</f>
        <v>DET</v>
      </c>
      <c r="I181" s="5" t="s">
        <v>7</v>
      </c>
      <c r="J181" s="5" t="str">
        <f>INDEX('Brown tagset'!$B:$B,MATCH(IF(ISERROR(FIND("-",I181)),IF(ISERROR(FIND("+",I181)),I181,LEFT(I181,FIND("+",I181)-1)),LEFT(I181,FIND("-",I181)-1)),'Brown tagset'!$A:$A,0))</f>
        <v>article (a, the, no)</v>
      </c>
      <c r="K181" s="5" t="s">
        <v>2</v>
      </c>
      <c r="L181" s="5" t="str">
        <f>INDEX('Brown-Universal mapping'!$B:$B,MATCH(I181,'Brown-Universal mapping'!$A:$A,0))</f>
        <v>DET</v>
      </c>
      <c r="M181" s="5">
        <f t="shared" si="22"/>
        <v>1</v>
      </c>
      <c r="N181" s="5">
        <f t="shared" si="23"/>
        <v>1</v>
      </c>
      <c r="P181" s="12" t="s">
        <v>90</v>
      </c>
      <c r="Q181" s="7" t="s">
        <v>89</v>
      </c>
      <c r="R181" s="7" t="str">
        <f>INDEX('Brown tagset'!$B:$B,MATCH(IF(ISERROR(FIND("-",Q181)),IF(ISERROR(FIND("+",Q181)),Q181,LEFT(Q181,FIND("+",Q181)-1)),LEFT(Q181,FIND("-",Q181)-1)),'Brown tagset'!$A:$A,0))</f>
        <v>article (a, the, no)</v>
      </c>
      <c r="S181" s="7"/>
      <c r="T181" s="7" t="str">
        <f>INDEX('Brown-Universal mapping'!$B:$B,MATCH(Q181,'Brown-Universal mapping'!$A:$A,0))</f>
        <v>DET</v>
      </c>
      <c r="U181" s="7">
        <f t="shared" si="24"/>
        <v>1</v>
      </c>
      <c r="V181" s="7">
        <f t="shared" si="25"/>
        <v>1</v>
      </c>
      <c r="X181" s="12" t="s">
        <v>90</v>
      </c>
      <c r="Y181" s="7" t="s">
        <v>89</v>
      </c>
      <c r="Z181" s="7" t="str">
        <f>INDEX('Brown tagset'!$B:$B,MATCH(IF(ISERROR(FIND("-",Y181)),IF(ISERROR(FIND("+",Y181)),Y181,LEFT(Y181,FIND("+",Y181)-1)),LEFT(Y181,FIND("-",Y181)-1)),'Brown tagset'!$A:$A,0))</f>
        <v>article (a, the, no)</v>
      </c>
      <c r="AA181" s="7"/>
      <c r="AB181" s="7" t="str">
        <f>INDEX('Brown-Universal mapping'!$B:$B,MATCH(Y181,'Brown-Universal mapping'!$A:$A,0))</f>
        <v>DET</v>
      </c>
      <c r="AC181" s="7">
        <f t="shared" si="28"/>
        <v>1</v>
      </c>
      <c r="AD181" s="7">
        <f t="shared" si="29"/>
        <v>1</v>
      </c>
      <c r="AF181" s="9" t="s">
        <v>7</v>
      </c>
      <c r="AG181" s="9" t="str">
        <f>INDEX('Brown tagset'!$B:$B,MATCH(IF(ISERROR(FIND("-",AF181)),IF(ISERROR(FIND("+",AF181)),AF181,LEFT(AF181,FIND("+",AF181)-1)),LEFT(AF181,FIND("-",AF181)-1)),'Brown tagset'!$A:$A,0))</f>
        <v>article (a, the, no)</v>
      </c>
      <c r="AH181" s="9" t="s">
        <v>2</v>
      </c>
      <c r="AI181" s="9" t="str">
        <f>INDEX('Brown-Universal mapping'!$B:$B,MATCH(AF181,'Brown-Universal mapping'!$A:$A,0))</f>
        <v>DET</v>
      </c>
      <c r="AJ181" s="9">
        <f t="shared" si="26"/>
        <v>1</v>
      </c>
      <c r="AK181" s="9">
        <f t="shared" si="27"/>
        <v>1</v>
      </c>
      <c r="AM181" s="6">
        <f t="shared" si="30"/>
        <v>3</v>
      </c>
      <c r="AN181" s="6">
        <f t="shared" si="31"/>
        <v>3</v>
      </c>
      <c r="AP181" s="6" t="str">
        <f t="shared" si="32"/>
        <v>article (a, the, no)3</v>
      </c>
    </row>
    <row r="182" spans="1:42" x14ac:dyDescent="0.25">
      <c r="A182" s="25" t="s">
        <v>168</v>
      </c>
      <c r="B182" s="25"/>
      <c r="D182" s="3" t="s">
        <v>31</v>
      </c>
      <c r="E182" s="3" t="str">
        <f>INDEX('Brown tagset'!$B:$B,MATCH(IF(ISERROR(FIND("-",D182)),IF(ISERROR(FIND("+",D182)),D182,LEFT(D182,FIND("+",D182)-1)),LEFT(D182,FIND("-",D182)-1)),'Brown tagset'!$A:$A,0))</f>
        <v>plural noun</v>
      </c>
      <c r="F182" s="3"/>
      <c r="G182" s="3" t="str">
        <f>INDEX('Brown-Universal mapping'!$B:$B,MATCH(D182,'Brown-Universal mapping'!$A:$A,0))</f>
        <v>NOUN</v>
      </c>
      <c r="I182" s="5" t="s">
        <v>31</v>
      </c>
      <c r="J182" s="5" t="str">
        <f>INDEX('Brown tagset'!$B:$B,MATCH(IF(ISERROR(FIND("-",I182)),IF(ISERROR(FIND("+",I182)),I182,LEFT(I182,FIND("+",I182)-1)),LEFT(I182,FIND("-",I182)-1)),'Brown tagset'!$A:$A,0))</f>
        <v>plural noun</v>
      </c>
      <c r="K182" s="5" t="s">
        <v>13</v>
      </c>
      <c r="L182" s="5" t="str">
        <f>INDEX('Brown-Universal mapping'!$B:$B,MATCH(I182,'Brown-Universal mapping'!$A:$A,0))</f>
        <v>NOUN</v>
      </c>
      <c r="M182" s="5">
        <f t="shared" si="22"/>
        <v>1</v>
      </c>
      <c r="N182" s="5">
        <f t="shared" si="23"/>
        <v>1</v>
      </c>
      <c r="P182" s="12" t="s">
        <v>168</v>
      </c>
      <c r="Q182" s="7" t="s">
        <v>295</v>
      </c>
      <c r="R182" s="7" t="str">
        <f>INDEX('Brown tagset'!$B:$B,MATCH(IF(ISERROR(FIND("-",Q182)),IF(ISERROR(FIND("+",Q182)),Q182,LEFT(Q182,FIND("+",Q182)-1)),LEFT(Q182,FIND("-",Q182)-1)),'Brown tagset'!$A:$A,0))</f>
        <v>plural noun</v>
      </c>
      <c r="S182" s="7"/>
      <c r="T182" s="7" t="str">
        <f>INDEX('Brown-Universal mapping'!$B:$B,MATCH(Q182,'Brown-Universal mapping'!$A:$A,0))</f>
        <v>NOUN</v>
      </c>
      <c r="U182" s="7">
        <f t="shared" si="24"/>
        <v>1</v>
      </c>
      <c r="V182" s="7">
        <f t="shared" si="25"/>
        <v>1</v>
      </c>
      <c r="X182" s="12" t="s">
        <v>168</v>
      </c>
      <c r="Y182" s="7" t="s">
        <v>295</v>
      </c>
      <c r="Z182" s="7" t="str">
        <f>INDEX('Brown tagset'!$B:$B,MATCH(IF(ISERROR(FIND("-",Y182)),IF(ISERROR(FIND("+",Y182)),Y182,LEFT(Y182,FIND("+",Y182)-1)),LEFT(Y182,FIND("-",Y182)-1)),'Brown tagset'!$A:$A,0))</f>
        <v>plural noun</v>
      </c>
      <c r="AA182" s="7"/>
      <c r="AB182" s="7" t="str">
        <f>INDEX('Brown-Universal mapping'!$B:$B,MATCH(Y182,'Brown-Universal mapping'!$A:$A,0))</f>
        <v>NOUN</v>
      </c>
      <c r="AC182" s="7">
        <f t="shared" si="28"/>
        <v>1</v>
      </c>
      <c r="AD182" s="7">
        <f t="shared" si="29"/>
        <v>1</v>
      </c>
      <c r="AF182" s="9" t="s">
        <v>340</v>
      </c>
      <c r="AG182" s="9" t="str">
        <f>INDEX('Brown tagset'!$B:$B,MATCH(IF(ISERROR(FIND("-",AF182)),IF(ISERROR(FIND("+",AF182)),AF182,LEFT(AF182,FIND("+",AF182)-1)),LEFT(AF182,FIND("-",AF182)-1)),'Brown tagset'!$A:$A,0))</f>
        <v>unknown</v>
      </c>
      <c r="AH182" s="9" t="s">
        <v>2</v>
      </c>
      <c r="AI182" s="9" t="str">
        <f>INDEX('Brown-Universal mapping'!$B:$B,MATCH(AF182,'Brown-Universal mapping'!$A:$A,0))</f>
        <v>Unknown</v>
      </c>
      <c r="AJ182" s="9">
        <f t="shared" si="26"/>
        <v>0</v>
      </c>
      <c r="AK182" s="9">
        <f t="shared" si="27"/>
        <v>0</v>
      </c>
      <c r="AM182" s="6">
        <f t="shared" si="30"/>
        <v>2</v>
      </c>
      <c r="AN182" s="6">
        <f t="shared" si="31"/>
        <v>2</v>
      </c>
      <c r="AP182" s="6" t="str">
        <f t="shared" si="32"/>
        <v>unknown2</v>
      </c>
    </row>
    <row r="183" spans="1:42" x14ac:dyDescent="0.25">
      <c r="A183" s="29" t="s">
        <v>169</v>
      </c>
      <c r="B183" s="29">
        <v>1</v>
      </c>
      <c r="C183" s="4">
        <v>1</v>
      </c>
      <c r="D183" s="3" t="s">
        <v>4</v>
      </c>
      <c r="E183" s="3" t="str">
        <f>INDEX('Brown tagset'!$B:$B,MATCH(IF(ISERROR(FIND("-",D183)),IF(ISERROR(FIND("+",D183)),D183,LEFT(D183,FIND("+",D183)-1)),LEFT(D183,FIND("-",D183)-1)),'Brown tagset'!$A:$A,0))</f>
        <v>adverb</v>
      </c>
      <c r="F183" s="3"/>
      <c r="G183" s="3" t="str">
        <f>INDEX('Brown-Universal mapping'!$B:$B,MATCH(D183,'Brown-Universal mapping'!$A:$A,0))</f>
        <v>ADV</v>
      </c>
      <c r="I183" s="5" t="s">
        <v>4</v>
      </c>
      <c r="J183" s="5" t="str">
        <f>INDEX('Brown tagset'!$B:$B,MATCH(IF(ISERROR(FIND("-",I183)),IF(ISERROR(FIND("+",I183)),I183,LEFT(I183,FIND("+",I183)-1)),LEFT(I183,FIND("-",I183)-1)),'Brown tagset'!$A:$A,0))</f>
        <v>adverb</v>
      </c>
      <c r="K183" s="5" t="s">
        <v>5</v>
      </c>
      <c r="L183" s="5" t="str">
        <f>INDEX('Brown-Universal mapping'!$B:$B,MATCH(I183,'Brown-Universal mapping'!$A:$A,0))</f>
        <v>ADV</v>
      </c>
      <c r="M183" s="5">
        <f t="shared" si="22"/>
        <v>1</v>
      </c>
      <c r="N183" s="5">
        <f t="shared" si="23"/>
        <v>1</v>
      </c>
      <c r="P183" s="12" t="s">
        <v>169</v>
      </c>
      <c r="Q183" s="7" t="s">
        <v>288</v>
      </c>
      <c r="R183" s="7" t="str">
        <f>INDEX('Brown tagset'!$B:$B,MATCH(IF(ISERROR(FIND("-",Q183)),IF(ISERROR(FIND("+",Q183)),Q183,LEFT(Q183,FIND("+",Q183)-1)),LEFT(Q183,FIND("-",Q183)-1)),'Brown tagset'!$A:$A,0))</f>
        <v>adverb</v>
      </c>
      <c r="S183" s="7"/>
      <c r="T183" s="7" t="str">
        <f>INDEX('Brown-Universal mapping'!$B:$B,MATCH(Q183,'Brown-Universal mapping'!$A:$A,0))</f>
        <v>ADV</v>
      </c>
      <c r="U183" s="7">
        <f t="shared" si="24"/>
        <v>1</v>
      </c>
      <c r="V183" s="7">
        <f t="shared" si="25"/>
        <v>1</v>
      </c>
      <c r="X183" s="12" t="s">
        <v>169</v>
      </c>
      <c r="Y183" s="7" t="s">
        <v>288</v>
      </c>
      <c r="Z183" s="7" t="str">
        <f>INDEX('Brown tagset'!$B:$B,MATCH(IF(ISERROR(FIND("-",Y183)),IF(ISERROR(FIND("+",Y183)),Y183,LEFT(Y183,FIND("+",Y183)-1)),LEFT(Y183,FIND("-",Y183)-1)),'Brown tagset'!$A:$A,0))</f>
        <v>adverb</v>
      </c>
      <c r="AA183" s="7"/>
      <c r="AB183" s="7" t="str">
        <f>INDEX('Brown-Universal mapping'!$B:$B,MATCH(Y183,'Brown-Universal mapping'!$A:$A,0))</f>
        <v>ADV</v>
      </c>
      <c r="AC183" s="7">
        <f t="shared" si="28"/>
        <v>1</v>
      </c>
      <c r="AD183" s="7">
        <f t="shared" si="29"/>
        <v>1</v>
      </c>
      <c r="AF183" s="9" t="s">
        <v>4</v>
      </c>
      <c r="AG183" s="9" t="str">
        <f>INDEX('Brown tagset'!$B:$B,MATCH(IF(ISERROR(FIND("-",AF183)),IF(ISERROR(FIND("+",AF183)),AF183,LEFT(AF183,FIND("+",AF183)-1)),LEFT(AF183,FIND("-",AF183)-1)),'Brown tagset'!$A:$A,0))</f>
        <v>adverb</v>
      </c>
      <c r="AH183" s="9" t="s">
        <v>5</v>
      </c>
      <c r="AI183" s="9" t="str">
        <f>INDEX('Brown-Universal mapping'!$B:$B,MATCH(AF183,'Brown-Universal mapping'!$A:$A,0))</f>
        <v>ADV</v>
      </c>
      <c r="AJ183" s="9">
        <f t="shared" si="26"/>
        <v>1</v>
      </c>
      <c r="AK183" s="9">
        <f t="shared" si="27"/>
        <v>1</v>
      </c>
      <c r="AM183" s="6">
        <f t="shared" si="30"/>
        <v>3</v>
      </c>
      <c r="AN183" s="6">
        <f t="shared" si="31"/>
        <v>3</v>
      </c>
      <c r="AP183" s="6" t="str">
        <f t="shared" si="32"/>
        <v>adverb3</v>
      </c>
    </row>
    <row r="184" spans="1:42" x14ac:dyDescent="0.25">
      <c r="A184" s="29" t="s">
        <v>170</v>
      </c>
      <c r="B184" s="29"/>
      <c r="D184" s="3" t="s">
        <v>171</v>
      </c>
      <c r="E184" s="3" t="str">
        <f>INDEX('Brown tagset'!$B:$B,MATCH(IF(ISERROR(FIND("-",D184)),IF(ISERROR(FIND("+",D184)),D184,LEFT(D184,FIND("+",D184)-1)),LEFT(D184,FIND("-",D184)-1)),'Brown tagset'!$A:$A,0))</f>
        <v>other nominative personal pronoun (I, we, they, you)</v>
      </c>
      <c r="F184" s="3"/>
      <c r="G184" s="3" t="str">
        <f>INDEX('Brown-Universal mapping'!$B:$B,MATCH(D184,'Brown-Universal mapping'!$A:$A,0))</f>
        <v>PRON</v>
      </c>
      <c r="I184" s="5" t="s">
        <v>171</v>
      </c>
      <c r="J184" s="5" t="str">
        <f>INDEX('Brown tagset'!$B:$B,MATCH(IF(ISERROR(FIND("-",I184)),IF(ISERROR(FIND("+",I184)),I184,LEFT(I184,FIND("+",I184)-1)),LEFT(I184,FIND("-",I184)-1)),'Brown tagset'!$A:$A,0))</f>
        <v>other nominative personal pronoun (I, we, they, you)</v>
      </c>
      <c r="K184" s="5" t="s">
        <v>2</v>
      </c>
      <c r="L184" s="5" t="str">
        <f>INDEX('Brown-Universal mapping'!$B:$B,MATCH(I184,'Brown-Universal mapping'!$A:$A,0))</f>
        <v>PRON</v>
      </c>
      <c r="M184" s="5">
        <f t="shared" si="22"/>
        <v>1</v>
      </c>
      <c r="N184" s="5">
        <f t="shared" si="23"/>
        <v>1</v>
      </c>
      <c r="P184" s="12" t="s">
        <v>170</v>
      </c>
      <c r="Q184" s="7" t="s">
        <v>300</v>
      </c>
      <c r="R184" s="7" t="str">
        <f>INDEX('Brown tagset'!$B:$B,MATCH(IF(ISERROR(FIND("-",Q184)),IF(ISERROR(FIND("+",Q184)),Q184,LEFT(Q184,FIND("+",Q184)-1)),LEFT(Q184,FIND("-",Q184)-1)),'Brown tagset'!$A:$A,0))</f>
        <v>other nominative personal pronoun (I, we, they, you)</v>
      </c>
      <c r="S184" s="7"/>
      <c r="T184" s="7" t="str">
        <f>INDEX('Brown-Universal mapping'!$B:$B,MATCH(Q184,'Brown-Universal mapping'!$A:$A,0))</f>
        <v>PRON</v>
      </c>
      <c r="U184" s="7">
        <f t="shared" si="24"/>
        <v>1</v>
      </c>
      <c r="V184" s="7">
        <f t="shared" si="25"/>
        <v>1</v>
      </c>
      <c r="X184" s="12" t="s">
        <v>170</v>
      </c>
      <c r="Y184" s="7" t="s">
        <v>300</v>
      </c>
      <c r="Z184" s="7" t="str">
        <f>INDEX('Brown tagset'!$B:$B,MATCH(IF(ISERROR(FIND("-",Y184)),IF(ISERROR(FIND("+",Y184)),Y184,LEFT(Y184,FIND("+",Y184)-1)),LEFT(Y184,FIND("-",Y184)-1)),'Brown tagset'!$A:$A,0))</f>
        <v>other nominative personal pronoun (I, we, they, you)</v>
      </c>
      <c r="AA184" s="7"/>
      <c r="AB184" s="7" t="str">
        <f>INDEX('Brown-Universal mapping'!$B:$B,MATCH(Y184,'Brown-Universal mapping'!$A:$A,0))</f>
        <v>PRON</v>
      </c>
      <c r="AC184" s="7">
        <f t="shared" si="28"/>
        <v>1</v>
      </c>
      <c r="AD184" s="7">
        <f t="shared" si="29"/>
        <v>1</v>
      </c>
      <c r="AF184" s="9" t="s">
        <v>171</v>
      </c>
      <c r="AG184" s="9" t="str">
        <f>INDEX('Brown tagset'!$B:$B,MATCH(IF(ISERROR(FIND("-",AF184)),IF(ISERROR(FIND("+",AF184)),AF184,LEFT(AF184,FIND("+",AF184)-1)),LEFT(AF184,FIND("-",AF184)-1)),'Brown tagset'!$A:$A,0))</f>
        <v>other nominative personal pronoun (I, we, they, you)</v>
      </c>
      <c r="AH184" s="9" t="s">
        <v>2</v>
      </c>
      <c r="AI184" s="9" t="str">
        <f>INDEX('Brown-Universal mapping'!$B:$B,MATCH(AF184,'Brown-Universal mapping'!$A:$A,0))</f>
        <v>PRON</v>
      </c>
      <c r="AJ184" s="9">
        <f t="shared" si="26"/>
        <v>1</v>
      </c>
      <c r="AK184" s="9">
        <f t="shared" si="27"/>
        <v>1</v>
      </c>
      <c r="AM184" s="6">
        <f t="shared" si="30"/>
        <v>3</v>
      </c>
      <c r="AN184" s="6">
        <f t="shared" si="31"/>
        <v>3</v>
      </c>
      <c r="AP184" s="6" t="str">
        <f t="shared" si="32"/>
        <v>other nominative personal pronoun (I, we, they, you)3</v>
      </c>
    </row>
    <row r="185" spans="1:42" x14ac:dyDescent="0.25">
      <c r="A185" s="29" t="s">
        <v>172</v>
      </c>
      <c r="B185" s="29"/>
      <c r="C185" s="4">
        <v>1</v>
      </c>
      <c r="D185" s="3" t="s">
        <v>4</v>
      </c>
      <c r="E185" s="3" t="str">
        <f>INDEX('Brown tagset'!$B:$B,MATCH(IF(ISERROR(FIND("-",D185)),IF(ISERROR(FIND("+",D185)),D185,LEFT(D185,FIND("+",D185)-1)),LEFT(D185,FIND("-",D185)-1)),'Brown tagset'!$A:$A,0))</f>
        <v>adverb</v>
      </c>
      <c r="F185" s="3"/>
      <c r="G185" s="3" t="str">
        <f>INDEX('Brown-Universal mapping'!$B:$B,MATCH(D185,'Brown-Universal mapping'!$A:$A,0))</f>
        <v>ADV</v>
      </c>
      <c r="I185" s="5" t="s">
        <v>4</v>
      </c>
      <c r="J185" s="5" t="str">
        <f>INDEX('Brown tagset'!$B:$B,MATCH(IF(ISERROR(FIND("-",I185)),IF(ISERROR(FIND("+",I185)),I185,LEFT(I185,FIND("+",I185)-1)),LEFT(I185,FIND("-",I185)-1)),'Brown tagset'!$A:$A,0))</f>
        <v>adverb</v>
      </c>
      <c r="K185" s="5" t="s">
        <v>5</v>
      </c>
      <c r="L185" s="5" t="str">
        <f>INDEX('Brown-Universal mapping'!$B:$B,MATCH(I185,'Brown-Universal mapping'!$A:$A,0))</f>
        <v>ADV</v>
      </c>
      <c r="M185" s="5">
        <f t="shared" si="22"/>
        <v>1</v>
      </c>
      <c r="N185" s="5">
        <f t="shared" si="23"/>
        <v>1</v>
      </c>
      <c r="P185" s="12" t="s">
        <v>172</v>
      </c>
      <c r="Q185" s="7" t="s">
        <v>288</v>
      </c>
      <c r="R185" s="7" t="str">
        <f>INDEX('Brown tagset'!$B:$B,MATCH(IF(ISERROR(FIND("-",Q185)),IF(ISERROR(FIND("+",Q185)),Q185,LEFT(Q185,FIND("+",Q185)-1)),LEFT(Q185,FIND("-",Q185)-1)),'Brown tagset'!$A:$A,0))</f>
        <v>adverb</v>
      </c>
      <c r="S185" s="7"/>
      <c r="T185" s="7" t="str">
        <f>INDEX('Brown-Universal mapping'!$B:$B,MATCH(Q185,'Brown-Universal mapping'!$A:$A,0))</f>
        <v>ADV</v>
      </c>
      <c r="U185" s="7">
        <f t="shared" si="24"/>
        <v>1</v>
      </c>
      <c r="V185" s="7">
        <f t="shared" si="25"/>
        <v>1</v>
      </c>
      <c r="X185" s="12" t="s">
        <v>172</v>
      </c>
      <c r="Y185" s="7" t="s">
        <v>288</v>
      </c>
      <c r="Z185" s="7" t="str">
        <f>INDEX('Brown tagset'!$B:$B,MATCH(IF(ISERROR(FIND("-",Y185)),IF(ISERROR(FIND("+",Y185)),Y185,LEFT(Y185,FIND("+",Y185)-1)),LEFT(Y185,FIND("-",Y185)-1)),'Brown tagset'!$A:$A,0))</f>
        <v>adverb</v>
      </c>
      <c r="AA185" s="7"/>
      <c r="AB185" s="7" t="str">
        <f>INDEX('Brown-Universal mapping'!$B:$B,MATCH(Y185,'Brown-Universal mapping'!$A:$A,0))</f>
        <v>ADV</v>
      </c>
      <c r="AC185" s="7">
        <f t="shared" si="28"/>
        <v>1</v>
      </c>
      <c r="AD185" s="7">
        <f t="shared" si="29"/>
        <v>1</v>
      </c>
      <c r="AF185" s="9" t="s">
        <v>4</v>
      </c>
      <c r="AG185" s="9" t="str">
        <f>INDEX('Brown tagset'!$B:$B,MATCH(IF(ISERROR(FIND("-",AF185)),IF(ISERROR(FIND("+",AF185)),AF185,LEFT(AF185,FIND("+",AF185)-1)),LEFT(AF185,FIND("-",AF185)-1)),'Brown tagset'!$A:$A,0))</f>
        <v>adverb</v>
      </c>
      <c r="AH185" s="9" t="s">
        <v>5</v>
      </c>
      <c r="AI185" s="9" t="str">
        <f>INDEX('Brown-Universal mapping'!$B:$B,MATCH(AF185,'Brown-Universal mapping'!$A:$A,0))</f>
        <v>ADV</v>
      </c>
      <c r="AJ185" s="9">
        <f t="shared" si="26"/>
        <v>1</v>
      </c>
      <c r="AK185" s="9">
        <f t="shared" si="27"/>
        <v>1</v>
      </c>
      <c r="AM185" s="6">
        <f t="shared" si="30"/>
        <v>3</v>
      </c>
      <c r="AN185" s="6">
        <f t="shared" si="31"/>
        <v>3</v>
      </c>
      <c r="AP185" s="6" t="str">
        <f t="shared" si="32"/>
        <v>adverb3</v>
      </c>
    </row>
    <row r="186" spans="1:42" x14ac:dyDescent="0.25">
      <c r="A186" s="29" t="s">
        <v>173</v>
      </c>
      <c r="B186" s="29"/>
      <c r="D186" s="3" t="s">
        <v>174</v>
      </c>
      <c r="E186" s="3" t="str">
        <f>INDEX('Brown tagset'!$B:$B,MATCH(IF(ISERROR(FIND("-",D186)),IF(ISERROR(FIND("+",D186)),D186,LEFT(D186,FIND("+",D186)-1)),LEFT(D186,FIND("-",D186)-1)),'Brown tagset'!$A:$A,0))</f>
        <v>verb, past tense</v>
      </c>
      <c r="F186" s="3"/>
      <c r="G186" s="3" t="str">
        <f>INDEX('Brown-Universal mapping'!$B:$B,MATCH(D186,'Brown-Universal mapping'!$A:$A,0))</f>
        <v>VERB</v>
      </c>
      <c r="I186" s="5" t="s">
        <v>174</v>
      </c>
      <c r="J186" s="5" t="str">
        <f>INDEX('Brown tagset'!$B:$B,MATCH(IF(ISERROR(FIND("-",I186)),IF(ISERROR(FIND("+",I186)),I186,LEFT(I186,FIND("+",I186)-1)),LEFT(I186,FIND("-",I186)-1)),'Brown tagset'!$A:$A,0))</f>
        <v>verb, past tense</v>
      </c>
      <c r="K186" s="5" t="s">
        <v>10</v>
      </c>
      <c r="L186" s="5" t="str">
        <f>INDEX('Brown-Universal mapping'!$B:$B,MATCH(I186,'Brown-Universal mapping'!$A:$A,0))</f>
        <v>VERB</v>
      </c>
      <c r="M186" s="5">
        <f t="shared" si="22"/>
        <v>1</v>
      </c>
      <c r="N186" s="5">
        <f t="shared" si="23"/>
        <v>1</v>
      </c>
      <c r="P186" s="12" t="s">
        <v>173</v>
      </c>
      <c r="Q186" s="7" t="s">
        <v>312</v>
      </c>
      <c r="R186" s="7" t="str">
        <f>INDEX('Brown tagset'!$B:$B,MATCH(IF(ISERROR(FIND("-",Q186)),IF(ISERROR(FIND("+",Q186)),Q186,LEFT(Q186,FIND("+",Q186)-1)),LEFT(Q186,FIND("-",Q186)-1)),'Brown tagset'!$A:$A,0))</f>
        <v>verb, past tense</v>
      </c>
      <c r="S186" s="7"/>
      <c r="T186" s="7" t="str">
        <f>INDEX('Brown-Universal mapping'!$B:$B,MATCH(Q186,'Brown-Universal mapping'!$A:$A,0))</f>
        <v>VERB</v>
      </c>
      <c r="U186" s="7">
        <f t="shared" si="24"/>
        <v>1</v>
      </c>
      <c r="V186" s="7">
        <f t="shared" si="25"/>
        <v>1</v>
      </c>
      <c r="X186" s="12" t="s">
        <v>173</v>
      </c>
      <c r="Y186" s="7" t="s">
        <v>312</v>
      </c>
      <c r="Z186" s="7" t="str">
        <f>INDEX('Brown tagset'!$B:$B,MATCH(IF(ISERROR(FIND("-",Y186)),IF(ISERROR(FIND("+",Y186)),Y186,LEFT(Y186,FIND("+",Y186)-1)),LEFT(Y186,FIND("-",Y186)-1)),'Brown tagset'!$A:$A,0))</f>
        <v>verb, past tense</v>
      </c>
      <c r="AA186" s="7"/>
      <c r="AB186" s="7" t="str">
        <f>INDEX('Brown-Universal mapping'!$B:$B,MATCH(Y186,'Brown-Universal mapping'!$A:$A,0))</f>
        <v>VERB</v>
      </c>
      <c r="AC186" s="7">
        <f t="shared" si="28"/>
        <v>1</v>
      </c>
      <c r="AD186" s="7">
        <f t="shared" si="29"/>
        <v>1</v>
      </c>
      <c r="AF186" s="9" t="s">
        <v>174</v>
      </c>
      <c r="AG186" s="9" t="str">
        <f>INDEX('Brown tagset'!$B:$B,MATCH(IF(ISERROR(FIND("-",AF186)),IF(ISERROR(FIND("+",AF186)),AF186,LEFT(AF186,FIND("+",AF186)-1)),LEFT(AF186,FIND("-",AF186)-1)),'Brown tagset'!$A:$A,0))</f>
        <v>verb, past tense</v>
      </c>
      <c r="AH186" s="9" t="s">
        <v>10</v>
      </c>
      <c r="AI186" s="9" t="str">
        <f>INDEX('Brown-Universal mapping'!$B:$B,MATCH(AF186,'Brown-Universal mapping'!$A:$A,0))</f>
        <v>VERB</v>
      </c>
      <c r="AJ186" s="9">
        <f t="shared" si="26"/>
        <v>1</v>
      </c>
      <c r="AK186" s="9">
        <f t="shared" si="27"/>
        <v>1</v>
      </c>
      <c r="AM186" s="6">
        <f t="shared" si="30"/>
        <v>3</v>
      </c>
      <c r="AN186" s="6">
        <f t="shared" si="31"/>
        <v>3</v>
      </c>
      <c r="AP186" s="6" t="str">
        <f t="shared" si="32"/>
        <v>verb, past tense3</v>
      </c>
    </row>
    <row r="187" spans="1:42" x14ac:dyDescent="0.25">
      <c r="A187" s="29" t="s">
        <v>159</v>
      </c>
      <c r="B187" s="29"/>
      <c r="D187" s="3" t="s">
        <v>113</v>
      </c>
      <c r="E187" s="3" t="str">
        <f>INDEX('Brown tagset'!$B:$B,MATCH(IF(ISERROR(FIND("-",D187)),IF(ISERROR(FIND("+",D187)),D187,LEFT(D187,FIND("+",D187)-1)),LEFT(D187,FIND("-",D187)-1)),'Brown tagset'!$A:$A,0))</f>
        <v>objective personal pronoun (me, him, it, them)</v>
      </c>
      <c r="F187" s="3"/>
      <c r="G187" s="3" t="str">
        <f>INDEX('Brown-Universal mapping'!$B:$B,MATCH(D187,'Brown-Universal mapping'!$A:$A,0))</f>
        <v>PRON</v>
      </c>
      <c r="I187" s="5" t="s">
        <v>113</v>
      </c>
      <c r="J187" s="5" t="str">
        <f>INDEX('Brown tagset'!$B:$B,MATCH(IF(ISERROR(FIND("-",I187)),IF(ISERROR(FIND("+",I187)),I187,LEFT(I187,FIND("+",I187)-1)),LEFT(I187,FIND("-",I187)-1)),'Brown tagset'!$A:$A,0))</f>
        <v>objective personal pronoun (me, him, it, them)</v>
      </c>
      <c r="K187" s="5" t="s">
        <v>2</v>
      </c>
      <c r="L187" s="5" t="str">
        <f>INDEX('Brown-Universal mapping'!$B:$B,MATCH(I187,'Brown-Universal mapping'!$A:$A,0))</f>
        <v>PRON</v>
      </c>
      <c r="M187" s="5">
        <f t="shared" si="22"/>
        <v>1</v>
      </c>
      <c r="N187" s="5">
        <f t="shared" si="23"/>
        <v>1</v>
      </c>
      <c r="P187" s="12" t="s">
        <v>159</v>
      </c>
      <c r="Q187" s="7" t="s">
        <v>316</v>
      </c>
      <c r="R187" s="7" t="str">
        <f>INDEX('Brown tagset'!$B:$B,MATCH(IF(ISERROR(FIND("-",Q187)),IF(ISERROR(FIND("+",Q187)),Q187,LEFT(Q187,FIND("+",Q187)-1)),LEFT(Q187,FIND("-",Q187)-1)),'Brown tagset'!$A:$A,0))</f>
        <v>objective personal pronoun (me, him, it, them)</v>
      </c>
      <c r="S187" s="7"/>
      <c r="T187" s="7" t="str">
        <f>INDEX('Brown-Universal mapping'!$B:$B,MATCH(Q187,'Brown-Universal mapping'!$A:$A,0))</f>
        <v>PRON</v>
      </c>
      <c r="U187" s="7">
        <f t="shared" si="24"/>
        <v>1</v>
      </c>
      <c r="V187" s="7">
        <f t="shared" si="25"/>
        <v>1</v>
      </c>
      <c r="X187" s="12" t="s">
        <v>159</v>
      </c>
      <c r="Y187" s="7" t="s">
        <v>316</v>
      </c>
      <c r="Z187" s="7" t="str">
        <f>INDEX('Brown tagset'!$B:$B,MATCH(IF(ISERROR(FIND("-",Y187)),IF(ISERROR(FIND("+",Y187)),Y187,LEFT(Y187,FIND("+",Y187)-1)),LEFT(Y187,FIND("-",Y187)-1)),'Brown tagset'!$A:$A,0))</f>
        <v>objective personal pronoun (me, him, it, them)</v>
      </c>
      <c r="AA187" s="7"/>
      <c r="AB187" s="7" t="str">
        <f>INDEX('Brown-Universal mapping'!$B:$B,MATCH(Y187,'Brown-Universal mapping'!$A:$A,0))</f>
        <v>PRON</v>
      </c>
      <c r="AC187" s="7">
        <f t="shared" si="28"/>
        <v>1</v>
      </c>
      <c r="AD187" s="7">
        <f t="shared" si="29"/>
        <v>1</v>
      </c>
      <c r="AF187" s="9" t="s">
        <v>113</v>
      </c>
      <c r="AG187" s="9" t="str">
        <f>INDEX('Brown tagset'!$B:$B,MATCH(IF(ISERROR(FIND("-",AF187)),IF(ISERROR(FIND("+",AF187)),AF187,LEFT(AF187,FIND("+",AF187)-1)),LEFT(AF187,FIND("-",AF187)-1)),'Brown tagset'!$A:$A,0))</f>
        <v>objective personal pronoun (me, him, it, them)</v>
      </c>
      <c r="AH187" s="9" t="s">
        <v>2</v>
      </c>
      <c r="AI187" s="9" t="str">
        <f>INDEX('Brown-Universal mapping'!$B:$B,MATCH(AF187,'Brown-Universal mapping'!$A:$A,0))</f>
        <v>PRON</v>
      </c>
      <c r="AJ187" s="9">
        <f t="shared" si="26"/>
        <v>1</v>
      </c>
      <c r="AK187" s="9">
        <f t="shared" si="27"/>
        <v>1</v>
      </c>
      <c r="AM187" s="6">
        <f t="shared" si="30"/>
        <v>3</v>
      </c>
      <c r="AN187" s="6">
        <f t="shared" si="31"/>
        <v>3</v>
      </c>
      <c r="AP187" s="6" t="str">
        <f t="shared" si="32"/>
        <v>objective personal pronoun (me, him, it, them)3</v>
      </c>
    </row>
    <row r="188" spans="1:42" x14ac:dyDescent="0.25">
      <c r="A188" s="29" t="s">
        <v>16</v>
      </c>
      <c r="B188" s="29"/>
      <c r="D188" s="3" t="s">
        <v>59</v>
      </c>
      <c r="E188" s="3" t="str">
        <f>INDEX('Brown tagset'!$B:$B,MATCH(IF(ISERROR(FIND("-",D188)),IF(ISERROR(FIND("+",D188)),D188,LEFT(D188,FIND("+",D188)-1)),LEFT(D188,FIND("-",D188)-1)),'Brown tagset'!$A:$A,0))</f>
        <v>preposition</v>
      </c>
      <c r="F188" s="3"/>
      <c r="G188" s="3" t="str">
        <f>INDEX('Brown-Universal mapping'!$B:$B,MATCH(D188,'Brown-Universal mapping'!$A:$A,0))</f>
        <v>ADP</v>
      </c>
      <c r="I188" s="5" t="s">
        <v>59</v>
      </c>
      <c r="J188" s="5" t="str">
        <f>INDEX('Brown tagset'!$B:$B,MATCH(IF(ISERROR(FIND("-",I188)),IF(ISERROR(FIND("+",I188)),I188,LEFT(I188,FIND("+",I188)-1)),LEFT(I188,FIND("-",I188)-1)),'Brown tagset'!$A:$A,0))</f>
        <v>preposition</v>
      </c>
      <c r="K188" s="5" t="s">
        <v>60</v>
      </c>
      <c r="L188" s="5" t="str">
        <f>INDEX('Brown-Universal mapping'!$B:$B,MATCH(I188,'Brown-Universal mapping'!$A:$A,0))</f>
        <v>ADP</v>
      </c>
      <c r="M188" s="5">
        <f t="shared" si="22"/>
        <v>1</v>
      </c>
      <c r="N188" s="5">
        <f t="shared" si="23"/>
        <v>1</v>
      </c>
      <c r="P188" s="12" t="s">
        <v>16</v>
      </c>
      <c r="Q188" s="7" t="s">
        <v>16</v>
      </c>
      <c r="R188" s="7" t="str">
        <f>INDEX('Brown tagset'!$B:$B,MATCH(IF(ISERROR(FIND("-",Q188)),IF(ISERROR(FIND("+",Q188)),Q188,LEFT(Q188,FIND("+",Q188)-1)),LEFT(Q188,FIND("-",Q188)-1)),'Brown tagset'!$A:$A,0))</f>
        <v>infinitive marker to</v>
      </c>
      <c r="S188" s="7"/>
      <c r="T188" s="7" t="str">
        <f>INDEX('Brown-Universal mapping'!$B:$B,MATCH(Q188,'Brown-Universal mapping'!$A:$A,0))</f>
        <v>PRT</v>
      </c>
      <c r="U188" s="7">
        <f t="shared" si="24"/>
        <v>0</v>
      </c>
      <c r="V188" s="7">
        <f t="shared" si="25"/>
        <v>0</v>
      </c>
      <c r="X188" s="12" t="s">
        <v>16</v>
      </c>
      <c r="Y188" s="7" t="s">
        <v>124</v>
      </c>
      <c r="Z188" s="7" t="str">
        <f>INDEX('Brown tagset'!$B:$B,MATCH(IF(ISERROR(FIND("-",Y188)),IF(ISERROR(FIND("+",Y188)),Y188,LEFT(Y188,FIND("+",Y188)-1)),LEFT(Y188,FIND("-",Y188)-1)),'Brown tagset'!$A:$A,0))</f>
        <v>preposition</v>
      </c>
      <c r="AA188" s="7"/>
      <c r="AB188" s="7" t="str">
        <f>INDEX('Brown-Universal mapping'!$B:$B,MATCH(Y188,'Brown-Universal mapping'!$A:$A,0))</f>
        <v>ADP</v>
      </c>
      <c r="AC188" s="7">
        <f t="shared" si="28"/>
        <v>1</v>
      </c>
      <c r="AD188" s="7">
        <f t="shared" si="29"/>
        <v>1</v>
      </c>
      <c r="AF188" s="9" t="s">
        <v>59</v>
      </c>
      <c r="AG188" s="9" t="str">
        <f>INDEX('Brown tagset'!$B:$B,MATCH(IF(ISERROR(FIND("-",AF188)),IF(ISERROR(FIND("+",AF188)),AF188,LEFT(AF188,FIND("+",AF188)-1)),LEFT(AF188,FIND("-",AF188)-1)),'Brown tagset'!$A:$A,0))</f>
        <v>preposition</v>
      </c>
      <c r="AH188" s="9" t="s">
        <v>60</v>
      </c>
      <c r="AI188" s="9" t="str">
        <f>INDEX('Brown-Universal mapping'!$B:$B,MATCH(AF188,'Brown-Universal mapping'!$A:$A,0))</f>
        <v>ADP</v>
      </c>
      <c r="AJ188" s="9">
        <f t="shared" si="26"/>
        <v>1</v>
      </c>
      <c r="AK188" s="9">
        <f t="shared" si="27"/>
        <v>1</v>
      </c>
      <c r="AM188" s="6">
        <f t="shared" si="30"/>
        <v>3</v>
      </c>
      <c r="AN188" s="6">
        <f t="shared" si="31"/>
        <v>3</v>
      </c>
      <c r="AP188" s="6" t="str">
        <f t="shared" si="32"/>
        <v>preposition3</v>
      </c>
    </row>
    <row r="189" spans="1:42" x14ac:dyDescent="0.25">
      <c r="A189" s="29" t="s">
        <v>175</v>
      </c>
      <c r="B189" s="29"/>
      <c r="D189" s="3" t="s">
        <v>139</v>
      </c>
      <c r="E189" s="3" t="str">
        <f>INDEX('Brown tagset'!$B:$B,MATCH(IF(ISERROR(FIND("-",D189)),IF(ISERROR(FIND("+",D189)),D189,LEFT(D189,FIND("+",D189)-1)),LEFT(D189,FIND("-",D189)-1)),'Brown tagset'!$A:$A,0))</f>
        <v>singular determiner/quantifier (this, that)</v>
      </c>
      <c r="F189" s="3"/>
      <c r="G189" s="3" t="str">
        <f>INDEX('Brown-Universal mapping'!$B:$B,MATCH(D189,'Brown-Universal mapping'!$A:$A,0))</f>
        <v>DET</v>
      </c>
      <c r="I189" s="5" t="s">
        <v>139</v>
      </c>
      <c r="J189" s="5" t="str">
        <f>INDEX('Brown tagset'!$B:$B,MATCH(IF(ISERROR(FIND("-",I189)),IF(ISERROR(FIND("+",I189)),I189,LEFT(I189,FIND("+",I189)-1)),LEFT(I189,FIND("-",I189)-1)),'Brown tagset'!$A:$A,0))</f>
        <v>singular determiner/quantifier (this, that)</v>
      </c>
      <c r="K189" s="5" t="s">
        <v>84</v>
      </c>
      <c r="L189" s="5" t="str">
        <f>INDEX('Brown-Universal mapping'!$B:$B,MATCH(I189,'Brown-Universal mapping'!$A:$A,0))</f>
        <v>DET</v>
      </c>
      <c r="M189" s="5">
        <f t="shared" si="22"/>
        <v>1</v>
      </c>
      <c r="N189" s="5">
        <f t="shared" si="23"/>
        <v>1</v>
      </c>
      <c r="P189" s="12" t="s">
        <v>175</v>
      </c>
      <c r="Q189" s="7" t="s">
        <v>294</v>
      </c>
      <c r="R189" s="7" t="str">
        <f>INDEX('Brown tagset'!$B:$B,MATCH(IF(ISERROR(FIND("-",Q189)),IF(ISERROR(FIND("+",Q189)),Q189,LEFT(Q189,FIND("+",Q189)-1)),LEFT(Q189,FIND("-",Q189)-1)),'Brown tagset'!$A:$A,0))</f>
        <v>subordinating conjunction (if, although)</v>
      </c>
      <c r="S189" s="7"/>
      <c r="T189" s="7" t="str">
        <f>INDEX('Brown-Universal mapping'!$B:$B,MATCH(Q189,'Brown-Universal mapping'!$A:$A,0))</f>
        <v>ADP</v>
      </c>
      <c r="U189" s="7">
        <f t="shared" si="24"/>
        <v>0</v>
      </c>
      <c r="V189" s="7">
        <f t="shared" si="25"/>
        <v>0</v>
      </c>
      <c r="X189" s="12" t="s">
        <v>175</v>
      </c>
      <c r="Y189" s="7" t="s">
        <v>320</v>
      </c>
      <c r="Z189" s="7" t="str">
        <f>INDEX('Brown tagset'!$B:$B,MATCH(IF(ISERROR(FIND("-",Y189)),IF(ISERROR(FIND("+",Y189)),Y189,LEFT(Y189,FIND("+",Y189)-1)),LEFT(Y189,FIND("-",Y189)-1)),'Brown tagset'!$A:$A,0))</f>
        <v>singular determiner/quantifier (this, that)</v>
      </c>
      <c r="AA189" s="7"/>
      <c r="AB189" s="7" t="str">
        <f>INDEX('Brown-Universal mapping'!$B:$B,MATCH(Y189,'Brown-Universal mapping'!$A:$A,0))</f>
        <v>DET</v>
      </c>
      <c r="AC189" s="7">
        <f t="shared" si="28"/>
        <v>1</v>
      </c>
      <c r="AD189" s="7">
        <f t="shared" si="29"/>
        <v>1</v>
      </c>
      <c r="AF189" s="9" t="s">
        <v>139</v>
      </c>
      <c r="AG189" s="9" t="str">
        <f>INDEX('Brown tagset'!$B:$B,MATCH(IF(ISERROR(FIND("-",AF189)),IF(ISERROR(FIND("+",AF189)),AF189,LEFT(AF189,FIND("+",AF189)-1)),LEFT(AF189,FIND("-",AF189)-1)),'Brown tagset'!$A:$A,0))</f>
        <v>singular determiner/quantifier (this, that)</v>
      </c>
      <c r="AH189" s="9" t="s">
        <v>84</v>
      </c>
      <c r="AI189" s="9" t="str">
        <f>INDEX('Brown-Universal mapping'!$B:$B,MATCH(AF189,'Brown-Universal mapping'!$A:$A,0))</f>
        <v>DET</v>
      </c>
      <c r="AJ189" s="9">
        <f t="shared" si="26"/>
        <v>1</v>
      </c>
      <c r="AK189" s="9">
        <f t="shared" si="27"/>
        <v>1</v>
      </c>
      <c r="AM189" s="6">
        <f t="shared" si="30"/>
        <v>3</v>
      </c>
      <c r="AN189" s="6">
        <f t="shared" si="31"/>
        <v>3</v>
      </c>
      <c r="AP189" s="6" t="str">
        <f t="shared" si="32"/>
        <v>singular determiner/quantifier (this, that)3</v>
      </c>
    </row>
    <row r="190" spans="1:42" x14ac:dyDescent="0.25">
      <c r="A190" s="29" t="s">
        <v>176</v>
      </c>
      <c r="B190" s="29"/>
      <c r="D190" s="3" t="s">
        <v>12</v>
      </c>
      <c r="E190" s="3" t="str">
        <f>INDEX('Brown tagset'!$B:$B,MATCH(IF(ISERROR(FIND("-",D190)),IF(ISERROR(FIND("+",D190)),D190,LEFT(D190,FIND("+",D190)-1)),LEFT(D190,FIND("-",D190)-1)),'Brown tagset'!$A:$A,0))</f>
        <v>singular or mass noun</v>
      </c>
      <c r="F190" s="3"/>
      <c r="G190" s="3" t="str">
        <f>INDEX('Brown-Universal mapping'!$B:$B,MATCH(D190,'Brown-Universal mapping'!$A:$A,0))</f>
        <v>NOUN</v>
      </c>
      <c r="I190" s="5" t="s">
        <v>12</v>
      </c>
      <c r="J190" s="5" t="str">
        <f>INDEX('Brown tagset'!$B:$B,MATCH(IF(ISERROR(FIND("-",I190)),IF(ISERROR(FIND("+",I190)),I190,LEFT(I190,FIND("+",I190)-1)),LEFT(I190,FIND("-",I190)-1)),'Brown tagset'!$A:$A,0))</f>
        <v>singular or mass noun</v>
      </c>
      <c r="K190" s="5" t="s">
        <v>13</v>
      </c>
      <c r="L190" s="5" t="str">
        <f>INDEX('Brown-Universal mapping'!$B:$B,MATCH(I190,'Brown-Universal mapping'!$A:$A,0))</f>
        <v>NOUN</v>
      </c>
      <c r="M190" s="5">
        <f t="shared" si="22"/>
        <v>1</v>
      </c>
      <c r="N190" s="5">
        <f t="shared" si="23"/>
        <v>1</v>
      </c>
      <c r="P190" s="12" t="s">
        <v>176</v>
      </c>
      <c r="Q190" s="7" t="s">
        <v>324</v>
      </c>
      <c r="R190" s="7" t="str">
        <f>INDEX('Brown tagset'!$B:$B,MATCH(IF(ISERROR(FIND("-",Q190)),IF(ISERROR(FIND("+",Q190)),Q190,LEFT(Q190,FIND("+",Q190)-1)),LEFT(Q190,FIND("-",Q190)-1)),'Brown tagset'!$A:$A,0))</f>
        <v>semantically superlative adjective (chief, top)</v>
      </c>
      <c r="S190" s="7"/>
      <c r="T190" s="7" t="str">
        <f>INDEX('Brown-Universal mapping'!$B:$B,MATCH(Q190,'Brown-Universal mapping'!$A:$A,0))</f>
        <v>ADJ</v>
      </c>
      <c r="U190" s="7">
        <f t="shared" si="24"/>
        <v>0</v>
      </c>
      <c r="V190" s="7">
        <f t="shared" si="25"/>
        <v>0</v>
      </c>
      <c r="X190" s="12" t="s">
        <v>176</v>
      </c>
      <c r="Y190" s="7" t="s">
        <v>289</v>
      </c>
      <c r="Z190" s="7" t="str">
        <f>INDEX('Brown tagset'!$B:$B,MATCH(IF(ISERROR(FIND("-",Y190)),IF(ISERROR(FIND("+",Y190)),Y190,LEFT(Y190,FIND("+",Y190)-1)),LEFT(Y190,FIND("-",Y190)-1)),'Brown tagset'!$A:$A,0))</f>
        <v>singular or mass noun</v>
      </c>
      <c r="AA190" s="7"/>
      <c r="AB190" s="7" t="str">
        <f>INDEX('Brown-Universal mapping'!$B:$B,MATCH(Y190,'Brown-Universal mapping'!$A:$A,0))</f>
        <v>NOUN</v>
      </c>
      <c r="AC190" s="7">
        <f t="shared" si="28"/>
        <v>1</v>
      </c>
      <c r="AD190" s="7">
        <f t="shared" si="29"/>
        <v>1</v>
      </c>
      <c r="AF190" s="9" t="s">
        <v>12</v>
      </c>
      <c r="AG190" s="9" t="str">
        <f>INDEX('Brown tagset'!$B:$B,MATCH(IF(ISERROR(FIND("-",AF190)),IF(ISERROR(FIND("+",AF190)),AF190,LEFT(AF190,FIND("+",AF190)-1)),LEFT(AF190,FIND("-",AF190)-1)),'Brown tagset'!$A:$A,0))</f>
        <v>singular or mass noun</v>
      </c>
      <c r="AH190" s="9" t="s">
        <v>13</v>
      </c>
      <c r="AI190" s="9" t="str">
        <f>INDEX('Brown-Universal mapping'!$B:$B,MATCH(AF190,'Brown-Universal mapping'!$A:$A,0))</f>
        <v>NOUN</v>
      </c>
      <c r="AJ190" s="9">
        <f t="shared" si="26"/>
        <v>1</v>
      </c>
      <c r="AK190" s="9">
        <f t="shared" si="27"/>
        <v>1</v>
      </c>
      <c r="AM190" s="6">
        <f t="shared" si="30"/>
        <v>3</v>
      </c>
      <c r="AN190" s="6">
        <f t="shared" si="31"/>
        <v>3</v>
      </c>
      <c r="AP190" s="6" t="str">
        <f t="shared" si="32"/>
        <v>singular or mass noun3</v>
      </c>
    </row>
    <row r="191" spans="1:42" x14ac:dyDescent="0.25">
      <c r="A191" s="25" t="s">
        <v>177</v>
      </c>
      <c r="B191" s="25"/>
      <c r="D191" s="3" t="s">
        <v>66</v>
      </c>
      <c r="E191" s="3" t="str">
        <f>INDEX('Brown tagset'!$B:$B,MATCH(IF(ISERROR(FIND("-",D191)),IF(ISERROR(FIND("+",D191)),D191,LEFT(D191,FIND("+",D191)-1)),LEFT(D191,FIND("-",D191)-1)),'Brown tagset'!$A:$A,0))</f>
        <v>proper noun or part of name phrase</v>
      </c>
      <c r="F191" s="3"/>
      <c r="G191" s="3" t="str">
        <f>INDEX('Brown-Universal mapping'!$B:$B,MATCH(D191,'Brown-Universal mapping'!$A:$A,0))</f>
        <v>NOUN</v>
      </c>
      <c r="I191" s="5" t="s">
        <v>66</v>
      </c>
      <c r="J191" s="5" t="str">
        <f>INDEX('Brown tagset'!$B:$B,MATCH(IF(ISERROR(FIND("-",I191)),IF(ISERROR(FIND("+",I191)),I191,LEFT(I191,FIND("+",I191)-1)),LEFT(I191,FIND("-",I191)-1)),'Brown tagset'!$A:$A,0))</f>
        <v>proper noun or part of name phrase</v>
      </c>
      <c r="K191" s="5" t="s">
        <v>13</v>
      </c>
      <c r="L191" s="5" t="str">
        <f>INDEX('Brown-Universal mapping'!$B:$B,MATCH(I191,'Brown-Universal mapping'!$A:$A,0))</f>
        <v>NOUN</v>
      </c>
      <c r="M191" s="5">
        <f t="shared" si="22"/>
        <v>1</v>
      </c>
      <c r="N191" s="5">
        <f t="shared" si="23"/>
        <v>1</v>
      </c>
      <c r="P191" s="12" t="s">
        <v>177</v>
      </c>
      <c r="Q191" s="7" t="s">
        <v>322</v>
      </c>
      <c r="R191" s="7" t="str">
        <f>INDEX('Brown tagset'!$B:$B,MATCH(IF(ISERROR(FIND("-",Q191)),IF(ISERROR(FIND("+",Q191)),Q191,LEFT(Q191,FIND("+",Q191)-1)),LEFT(Q191,FIND("-",Q191)-1)),'Brown tagset'!$A:$A,0))</f>
        <v>adjective</v>
      </c>
      <c r="S191" s="7"/>
      <c r="T191" s="7" t="str">
        <f>INDEX('Brown-Universal mapping'!$B:$B,MATCH(Q191,'Brown-Universal mapping'!$A:$A,0))</f>
        <v>ADJ</v>
      </c>
      <c r="U191" s="7">
        <f t="shared" si="24"/>
        <v>0</v>
      </c>
      <c r="V191" s="7">
        <f t="shared" si="25"/>
        <v>0</v>
      </c>
      <c r="X191" s="12" t="s">
        <v>177</v>
      </c>
      <c r="Y191" s="7" t="s">
        <v>287</v>
      </c>
      <c r="Z191" s="7" t="str">
        <f>INDEX('Brown tagset'!$B:$B,MATCH(IF(ISERROR(FIND("-",Y191)),IF(ISERROR(FIND("+",Y191)),Y191,LEFT(Y191,FIND("+",Y191)-1)),LEFT(Y191,FIND("-",Y191)-1)),'Brown tagset'!$A:$A,0))</f>
        <v>proper noun or part of name phrase</v>
      </c>
      <c r="AA191" s="7"/>
      <c r="AB191" s="7" t="str">
        <f>INDEX('Brown-Universal mapping'!$B:$B,MATCH(Y191,'Brown-Universal mapping'!$A:$A,0))</f>
        <v>NOUN</v>
      </c>
      <c r="AC191" s="7">
        <f t="shared" si="28"/>
        <v>1</v>
      </c>
      <c r="AD191" s="7">
        <f t="shared" si="29"/>
        <v>1</v>
      </c>
      <c r="AF191" s="9" t="s">
        <v>340</v>
      </c>
      <c r="AG191" s="9" t="str">
        <f>INDEX('Brown tagset'!$B:$B,MATCH(IF(ISERROR(FIND("-",AF191)),IF(ISERROR(FIND("+",AF191)),AF191,LEFT(AF191,FIND("+",AF191)-1)),LEFT(AF191,FIND("-",AF191)-1)),'Brown tagset'!$A:$A,0))</f>
        <v>unknown</v>
      </c>
      <c r="AH191" s="9" t="s">
        <v>2</v>
      </c>
      <c r="AI191" s="9" t="str">
        <f>INDEX('Brown-Universal mapping'!$B:$B,MATCH(AF191,'Brown-Universal mapping'!$A:$A,0))</f>
        <v>Unknown</v>
      </c>
      <c r="AJ191" s="9">
        <f t="shared" si="26"/>
        <v>0</v>
      </c>
      <c r="AK191" s="9">
        <f t="shared" si="27"/>
        <v>0</v>
      </c>
      <c r="AM191" s="6">
        <f t="shared" si="30"/>
        <v>2</v>
      </c>
      <c r="AN191" s="6">
        <f t="shared" si="31"/>
        <v>2</v>
      </c>
      <c r="AP191" s="6" t="str">
        <f t="shared" si="32"/>
        <v>unknown2</v>
      </c>
    </row>
    <row r="192" spans="1:42" x14ac:dyDescent="0.25">
      <c r="A192" s="28" t="s">
        <v>178</v>
      </c>
      <c r="B192" s="28"/>
      <c r="D192" s="3" t="s">
        <v>12</v>
      </c>
      <c r="E192" s="3" t="str">
        <f>INDEX('Brown tagset'!$B:$B,MATCH(IF(ISERROR(FIND("-",D192)),IF(ISERROR(FIND("+",D192)),D192,LEFT(D192,FIND("+",D192)-1)),LEFT(D192,FIND("-",D192)-1)),'Brown tagset'!$A:$A,0))</f>
        <v>singular or mass noun</v>
      </c>
      <c r="F192" s="3"/>
      <c r="G192" s="3" t="str">
        <f>INDEX('Brown-Universal mapping'!$B:$B,MATCH(D192,'Brown-Universal mapping'!$A:$A,0))</f>
        <v>NOUN</v>
      </c>
      <c r="I192" s="5" t="s">
        <v>9</v>
      </c>
      <c r="J192" s="5" t="str">
        <f>INDEX('Brown tagset'!$B:$B,MATCH(IF(ISERROR(FIND("-",I192)),IF(ISERROR(FIND("+",I192)),I192,LEFT(I192,FIND("+",I192)-1)),LEFT(I192,FIND("-",I192)-1)),'Brown tagset'!$A:$A,0))</f>
        <v>verb, present participle/gerund</v>
      </c>
      <c r="K192" s="5" t="s">
        <v>10</v>
      </c>
      <c r="L192" s="5" t="str">
        <f>INDEX('Brown-Universal mapping'!$B:$B,MATCH(I192,'Brown-Universal mapping'!$A:$A,0))</f>
        <v>VERB</v>
      </c>
      <c r="M192" s="5">
        <f t="shared" si="22"/>
        <v>0</v>
      </c>
      <c r="N192" s="5">
        <f t="shared" si="23"/>
        <v>0</v>
      </c>
      <c r="P192" s="12" t="s">
        <v>178</v>
      </c>
      <c r="Q192" s="7" t="s">
        <v>292</v>
      </c>
      <c r="R192" s="7" t="str">
        <f>INDEX('Brown tagset'!$B:$B,MATCH(IF(ISERROR(FIND("-",Q192)),IF(ISERROR(FIND("+",Q192)),Q192,LEFT(Q192,FIND("+",Q192)-1)),LEFT(Q192,FIND("-",Q192)-1)),'Brown tagset'!$A:$A,0))</f>
        <v>verb, present participle/gerund</v>
      </c>
      <c r="S192" s="7"/>
      <c r="T192" s="7" t="str">
        <f>INDEX('Brown-Universal mapping'!$B:$B,MATCH(Q192,'Brown-Universal mapping'!$A:$A,0))</f>
        <v>VERB</v>
      </c>
      <c r="U192" s="7">
        <f t="shared" si="24"/>
        <v>0</v>
      </c>
      <c r="V192" s="7">
        <f t="shared" si="25"/>
        <v>0</v>
      </c>
      <c r="X192" s="12" t="s">
        <v>178</v>
      </c>
      <c r="Y192" s="7" t="s">
        <v>292</v>
      </c>
      <c r="Z192" s="7" t="str">
        <f>INDEX('Brown tagset'!$B:$B,MATCH(IF(ISERROR(FIND("-",Y192)),IF(ISERROR(FIND("+",Y192)),Y192,LEFT(Y192,FIND("+",Y192)-1)),LEFT(Y192,FIND("-",Y192)-1)),'Brown tagset'!$A:$A,0))</f>
        <v>verb, present participle/gerund</v>
      </c>
      <c r="AA192" s="7"/>
      <c r="AB192" s="7" t="str">
        <f>INDEX('Brown-Universal mapping'!$B:$B,MATCH(Y192,'Brown-Universal mapping'!$A:$A,0))</f>
        <v>VERB</v>
      </c>
      <c r="AC192" s="7">
        <f t="shared" si="28"/>
        <v>0</v>
      </c>
      <c r="AD192" s="7">
        <f t="shared" si="29"/>
        <v>0</v>
      </c>
      <c r="AF192" s="9" t="s">
        <v>340</v>
      </c>
      <c r="AG192" s="9" t="str">
        <f>INDEX('Brown tagset'!$B:$B,MATCH(IF(ISERROR(FIND("-",AF192)),IF(ISERROR(FIND("+",AF192)),AF192,LEFT(AF192,FIND("+",AF192)-1)),LEFT(AF192,FIND("-",AF192)-1)),'Brown tagset'!$A:$A,0))</f>
        <v>unknown</v>
      </c>
      <c r="AH192" s="9" t="s">
        <v>2</v>
      </c>
      <c r="AI192" s="9" t="str">
        <f>INDEX('Brown-Universal mapping'!$B:$B,MATCH(AF192,'Brown-Universal mapping'!$A:$A,0))</f>
        <v>Unknown</v>
      </c>
      <c r="AJ192" s="9">
        <f t="shared" si="26"/>
        <v>0</v>
      </c>
      <c r="AK192" s="9">
        <f t="shared" si="27"/>
        <v>0</v>
      </c>
      <c r="AM192" s="6">
        <f t="shared" si="30"/>
        <v>0</v>
      </c>
      <c r="AN192" s="6">
        <f t="shared" si="31"/>
        <v>0</v>
      </c>
      <c r="AP192" s="6" t="str">
        <f t="shared" si="32"/>
        <v>unknown0</v>
      </c>
    </row>
    <row r="193" spans="1:42" x14ac:dyDescent="0.25">
      <c r="A193" s="29" t="s">
        <v>179</v>
      </c>
      <c r="B193" s="29"/>
      <c r="D193" s="3" t="s">
        <v>12</v>
      </c>
      <c r="E193" s="3" t="str">
        <f>INDEX('Brown tagset'!$B:$B,MATCH(IF(ISERROR(FIND("-",D193)),IF(ISERROR(FIND("+",D193)),D193,LEFT(D193,FIND("+",D193)-1)),LEFT(D193,FIND("-",D193)-1)),'Brown tagset'!$A:$A,0))</f>
        <v>singular or mass noun</v>
      </c>
      <c r="F193" s="3"/>
      <c r="G193" s="3" t="str">
        <f>INDEX('Brown-Universal mapping'!$B:$B,MATCH(D193,'Brown-Universal mapping'!$A:$A,0))</f>
        <v>NOUN</v>
      </c>
      <c r="I193" s="5" t="s">
        <v>12</v>
      </c>
      <c r="J193" s="5" t="str">
        <f>INDEX('Brown tagset'!$B:$B,MATCH(IF(ISERROR(FIND("-",I193)),IF(ISERROR(FIND("+",I193)),I193,LEFT(I193,FIND("+",I193)-1)),LEFT(I193,FIND("-",I193)-1)),'Brown tagset'!$A:$A,0))</f>
        <v>singular or mass noun</v>
      </c>
      <c r="K193" s="5" t="s">
        <v>13</v>
      </c>
      <c r="L193" s="5" t="str">
        <f>INDEX('Brown-Universal mapping'!$B:$B,MATCH(I193,'Brown-Universal mapping'!$A:$A,0))</f>
        <v>NOUN</v>
      </c>
      <c r="M193" s="5">
        <f t="shared" si="22"/>
        <v>1</v>
      </c>
      <c r="N193" s="5">
        <f t="shared" si="23"/>
        <v>1</v>
      </c>
      <c r="P193" s="12" t="s">
        <v>179</v>
      </c>
      <c r="Q193" s="7" t="s">
        <v>289</v>
      </c>
      <c r="R193" s="7" t="str">
        <f>INDEX('Brown tagset'!$B:$B,MATCH(IF(ISERROR(FIND("-",Q193)),IF(ISERROR(FIND("+",Q193)),Q193,LEFT(Q193,FIND("+",Q193)-1)),LEFT(Q193,FIND("-",Q193)-1)),'Brown tagset'!$A:$A,0))</f>
        <v>singular or mass noun</v>
      </c>
      <c r="S193" s="7"/>
      <c r="T193" s="7" t="str">
        <f>INDEX('Brown-Universal mapping'!$B:$B,MATCH(Q193,'Brown-Universal mapping'!$A:$A,0))</f>
        <v>NOUN</v>
      </c>
      <c r="U193" s="7">
        <f t="shared" si="24"/>
        <v>1</v>
      </c>
      <c r="V193" s="7">
        <f t="shared" si="25"/>
        <v>1</v>
      </c>
      <c r="X193" s="12" t="s">
        <v>179</v>
      </c>
      <c r="Y193" s="7" t="s">
        <v>289</v>
      </c>
      <c r="Z193" s="7" t="str">
        <f>INDEX('Brown tagset'!$B:$B,MATCH(IF(ISERROR(FIND("-",Y193)),IF(ISERROR(FIND("+",Y193)),Y193,LEFT(Y193,FIND("+",Y193)-1)),LEFT(Y193,FIND("-",Y193)-1)),'Brown tagset'!$A:$A,0))</f>
        <v>singular or mass noun</v>
      </c>
      <c r="AA193" s="7"/>
      <c r="AB193" s="7" t="str">
        <f>INDEX('Brown-Universal mapping'!$B:$B,MATCH(Y193,'Brown-Universal mapping'!$A:$A,0))</f>
        <v>NOUN</v>
      </c>
      <c r="AC193" s="7">
        <f t="shared" si="28"/>
        <v>1</v>
      </c>
      <c r="AD193" s="7">
        <f t="shared" si="29"/>
        <v>1</v>
      </c>
      <c r="AF193" s="9" t="s">
        <v>12</v>
      </c>
      <c r="AG193" s="9" t="str">
        <f>INDEX('Brown tagset'!$B:$B,MATCH(IF(ISERROR(FIND("-",AF193)),IF(ISERROR(FIND("+",AF193)),AF193,LEFT(AF193,FIND("+",AF193)-1)),LEFT(AF193,FIND("-",AF193)-1)),'Brown tagset'!$A:$A,0))</f>
        <v>singular or mass noun</v>
      </c>
      <c r="AH193" s="9" t="s">
        <v>13</v>
      </c>
      <c r="AI193" s="9" t="str">
        <f>INDEX('Brown-Universal mapping'!$B:$B,MATCH(AF193,'Brown-Universal mapping'!$A:$A,0))</f>
        <v>NOUN</v>
      </c>
      <c r="AJ193" s="9">
        <f t="shared" si="26"/>
        <v>1</v>
      </c>
      <c r="AK193" s="9">
        <f t="shared" si="27"/>
        <v>1</v>
      </c>
      <c r="AM193" s="6">
        <f t="shared" si="30"/>
        <v>3</v>
      </c>
      <c r="AN193" s="6">
        <f t="shared" si="31"/>
        <v>3</v>
      </c>
      <c r="AP193" s="6" t="str">
        <f t="shared" si="32"/>
        <v>singular or mass noun3</v>
      </c>
    </row>
    <row r="194" spans="1:42" x14ac:dyDescent="0.25">
      <c r="A194" s="29" t="s">
        <v>62</v>
      </c>
      <c r="B194" s="29"/>
      <c r="D194" s="3" t="s">
        <v>62</v>
      </c>
      <c r="E194" s="3" t="str">
        <f>INDEX('Brown tagset'!$B:$B,MATCH(IF(ISERROR(FIND("-",D194)),IF(ISERROR(FIND("+",D194)),D194,LEFT(D194,FIND("+",D194)-1)),LEFT(D194,FIND("-",D194)-1)),'Brown tagset'!$A:$A,0))</f>
        <v>comma</v>
      </c>
      <c r="F194" s="3"/>
      <c r="G194" s="3" t="str">
        <f>INDEX('Brown-Universal mapping'!$B:$B,MATCH(D194,'Brown-Universal mapping'!$A:$A,0))</f>
        <v>.</v>
      </c>
      <c r="I194" s="5" t="s">
        <v>62</v>
      </c>
      <c r="J194" s="5" t="str">
        <f>INDEX('Brown tagset'!$B:$B,MATCH(IF(ISERROR(FIND("-",I194)),IF(ISERROR(FIND("+",I194)),I194,LEFT(I194,FIND("+",I194)-1)),LEFT(I194,FIND("-",I194)-1)),'Brown tagset'!$A:$A,0))</f>
        <v>comma</v>
      </c>
      <c r="K194" s="5" t="s">
        <v>38</v>
      </c>
      <c r="L194" s="5" t="str">
        <f>INDEX('Brown-Universal mapping'!$B:$B,MATCH(I194,'Brown-Universal mapping'!$A:$A,0))</f>
        <v>.</v>
      </c>
      <c r="M194" s="5">
        <f t="shared" si="22"/>
        <v>1</v>
      </c>
      <c r="N194" s="5">
        <f t="shared" si="23"/>
        <v>1</v>
      </c>
      <c r="P194" s="12" t="s">
        <v>62</v>
      </c>
      <c r="Q194" s="7" t="s">
        <v>62</v>
      </c>
      <c r="R194" s="7" t="str">
        <f>INDEX('Brown tagset'!$B:$B,MATCH(IF(ISERROR(FIND("-",Q194)),IF(ISERROR(FIND("+",Q194)),Q194,LEFT(Q194,FIND("+",Q194)-1)),LEFT(Q194,FIND("-",Q194)-1)),'Brown tagset'!$A:$A,0))</f>
        <v>comma</v>
      </c>
      <c r="S194" s="7"/>
      <c r="T194" s="7" t="str">
        <f>INDEX('Brown-Universal mapping'!$B:$B,MATCH(Q194,'Brown-Universal mapping'!$A:$A,0))</f>
        <v>.</v>
      </c>
      <c r="U194" s="7">
        <f t="shared" si="24"/>
        <v>1</v>
      </c>
      <c r="V194" s="7">
        <f t="shared" si="25"/>
        <v>1</v>
      </c>
      <c r="X194" s="12" t="s">
        <v>62</v>
      </c>
      <c r="Y194" s="7" t="s">
        <v>62</v>
      </c>
      <c r="Z194" s="7" t="str">
        <f>INDEX('Brown tagset'!$B:$B,MATCH(IF(ISERROR(FIND("-",Y194)),IF(ISERROR(FIND("+",Y194)),Y194,LEFT(Y194,FIND("+",Y194)-1)),LEFT(Y194,FIND("-",Y194)-1)),'Brown tagset'!$A:$A,0))</f>
        <v>comma</v>
      </c>
      <c r="AA194" s="7"/>
      <c r="AB194" s="7" t="str">
        <f>INDEX('Brown-Universal mapping'!$B:$B,MATCH(Y194,'Brown-Universal mapping'!$A:$A,0))</f>
        <v>.</v>
      </c>
      <c r="AC194" s="7">
        <f t="shared" si="28"/>
        <v>1</v>
      </c>
      <c r="AD194" s="7">
        <f t="shared" si="29"/>
        <v>1</v>
      </c>
      <c r="AF194" s="9" t="s">
        <v>62</v>
      </c>
      <c r="AG194" s="9" t="str">
        <f>INDEX('Brown tagset'!$B:$B,MATCH(IF(ISERROR(FIND("-",AF194)),IF(ISERROR(FIND("+",AF194)),AF194,LEFT(AF194,FIND("+",AF194)-1)),LEFT(AF194,FIND("-",AF194)-1)),'Brown tagset'!$A:$A,0))</f>
        <v>comma</v>
      </c>
      <c r="AH194" s="9" t="s">
        <v>38</v>
      </c>
      <c r="AI194" s="9" t="str">
        <f>INDEX('Brown-Universal mapping'!$B:$B,MATCH(AF194,'Brown-Universal mapping'!$A:$A,0))</f>
        <v>.</v>
      </c>
      <c r="AJ194" s="9">
        <f t="shared" si="26"/>
        <v>1</v>
      </c>
      <c r="AK194" s="9">
        <f t="shared" si="27"/>
        <v>1</v>
      </c>
      <c r="AM194" s="6">
        <f t="shared" si="30"/>
        <v>3</v>
      </c>
      <c r="AN194" s="6">
        <f t="shared" si="31"/>
        <v>3</v>
      </c>
      <c r="AP194" s="6" t="str">
        <f t="shared" si="32"/>
        <v>comma3</v>
      </c>
    </row>
    <row r="195" spans="1:42" x14ac:dyDescent="0.25">
      <c r="A195" s="29" t="s">
        <v>180</v>
      </c>
      <c r="B195" s="29"/>
      <c r="D195" s="3" t="s">
        <v>181</v>
      </c>
      <c r="E195" s="3" t="str">
        <f>INDEX('Brown tagset'!$B:$B,MATCH(IF(ISERROR(FIND("-",D195)),IF(ISERROR(FIND("+",D195)),D195,LEFT(D195,FIND("+",D195)-1)),LEFT(D195,FIND("-",D195)-1)),'Brown tagset'!$A:$A,0))</f>
        <v>singular or mass noun</v>
      </c>
      <c r="F195" s="3"/>
      <c r="G195" s="3" t="str">
        <f>INDEX('Brown-Universal mapping'!$B:$B,MATCH(D195,'Brown-Universal mapping'!$A:$A,0))</f>
        <v>NOUN</v>
      </c>
      <c r="I195" s="5" t="s">
        <v>181</v>
      </c>
      <c r="J195" s="5" t="str">
        <f>INDEX('Brown tagset'!$B:$B,MATCH(IF(ISERROR(FIND("-",I195)),IF(ISERROR(FIND("+",I195)),I195,LEFT(I195,FIND("+",I195)-1)),LEFT(I195,FIND("-",I195)-1)),'Brown tagset'!$A:$A,0))</f>
        <v>singular or mass noun</v>
      </c>
      <c r="K195" s="5" t="s">
        <v>2</v>
      </c>
      <c r="L195" s="5" t="str">
        <f>INDEX('Brown-Universal mapping'!$B:$B,MATCH(I195,'Brown-Universal mapping'!$A:$A,0))</f>
        <v>NOUN</v>
      </c>
      <c r="M195" s="5">
        <f t="shared" si="22"/>
        <v>1</v>
      </c>
      <c r="N195" s="5">
        <f t="shared" si="23"/>
        <v>1</v>
      </c>
      <c r="P195" s="12" t="s">
        <v>180</v>
      </c>
      <c r="Q195" s="7" t="s">
        <v>325</v>
      </c>
      <c r="R195" s="7" t="str">
        <f>INDEX('Brown tagset'!$B:$B,MATCH(IF(ISERROR(FIND("-",Q195)),IF(ISERROR(FIND("+",Q195)),Q195,LEFT(Q195,FIND("+",Q195)-1)),LEFT(Q195,FIND("-",Q195)-1)),'Brown tagset'!$A:$A,0))</f>
        <v>singular or mass noun</v>
      </c>
      <c r="S195" s="7"/>
      <c r="T195" s="7" t="str">
        <f>INDEX('Brown-Universal mapping'!$B:$B,MATCH(Q195,'Brown-Universal mapping'!$A:$A,0))</f>
        <v>NOUN</v>
      </c>
      <c r="U195" s="7">
        <f t="shared" si="24"/>
        <v>1</v>
      </c>
      <c r="V195" s="7">
        <f t="shared" si="25"/>
        <v>1</v>
      </c>
      <c r="X195" s="12" t="s">
        <v>180</v>
      </c>
      <c r="Y195" s="7" t="s">
        <v>325</v>
      </c>
      <c r="Z195" s="7" t="str">
        <f>INDEX('Brown tagset'!$B:$B,MATCH(IF(ISERROR(FIND("-",Y195)),IF(ISERROR(FIND("+",Y195)),Y195,LEFT(Y195,FIND("+",Y195)-1)),LEFT(Y195,FIND("-",Y195)-1)),'Brown tagset'!$A:$A,0))</f>
        <v>singular or mass noun</v>
      </c>
      <c r="AA195" s="7"/>
      <c r="AB195" s="7" t="str">
        <f>INDEX('Brown-Universal mapping'!$B:$B,MATCH(Y195,'Brown-Universal mapping'!$A:$A,0))</f>
        <v>NOUN</v>
      </c>
      <c r="AC195" s="7">
        <f t="shared" si="28"/>
        <v>1</v>
      </c>
      <c r="AD195" s="7">
        <f t="shared" si="29"/>
        <v>1</v>
      </c>
      <c r="AF195" s="9" t="s">
        <v>181</v>
      </c>
      <c r="AG195" s="9" t="str">
        <f>INDEX('Brown tagset'!$B:$B,MATCH(IF(ISERROR(FIND("-",AF195)),IF(ISERROR(FIND("+",AF195)),AF195,LEFT(AF195,FIND("+",AF195)-1)),LEFT(AF195,FIND("-",AF195)-1)),'Brown tagset'!$A:$A,0))</f>
        <v>singular or mass noun</v>
      </c>
      <c r="AH195" s="9" t="s">
        <v>2</v>
      </c>
      <c r="AI195" s="9" t="str">
        <f>INDEX('Brown-Universal mapping'!$B:$B,MATCH(AF195,'Brown-Universal mapping'!$A:$A,0))</f>
        <v>NOUN</v>
      </c>
      <c r="AJ195" s="9">
        <f t="shared" si="26"/>
        <v>1</v>
      </c>
      <c r="AK195" s="9">
        <f t="shared" si="27"/>
        <v>1</v>
      </c>
      <c r="AM195" s="6">
        <f t="shared" si="30"/>
        <v>3</v>
      </c>
      <c r="AN195" s="6">
        <f t="shared" si="31"/>
        <v>3</v>
      </c>
      <c r="AP195" s="6" t="str">
        <f t="shared" si="32"/>
        <v>singular or mass noun3</v>
      </c>
    </row>
    <row r="196" spans="1:42" x14ac:dyDescent="0.25">
      <c r="A196" s="29" t="s">
        <v>182</v>
      </c>
      <c r="B196" s="29"/>
      <c r="D196" s="3" t="s">
        <v>66</v>
      </c>
      <c r="E196" s="3" t="str">
        <f>INDEX('Brown tagset'!$B:$B,MATCH(IF(ISERROR(FIND("-",D196)),IF(ISERROR(FIND("+",D196)),D196,LEFT(D196,FIND("+",D196)-1)),LEFT(D196,FIND("-",D196)-1)),'Brown tagset'!$A:$A,0))</f>
        <v>proper noun or part of name phrase</v>
      </c>
      <c r="F196" s="3"/>
      <c r="G196" s="3" t="str">
        <f>INDEX('Brown-Universal mapping'!$B:$B,MATCH(D196,'Brown-Universal mapping'!$A:$A,0))</f>
        <v>NOUN</v>
      </c>
      <c r="I196" s="5" t="s">
        <v>66</v>
      </c>
      <c r="J196" s="5" t="str">
        <f>INDEX('Brown tagset'!$B:$B,MATCH(IF(ISERROR(FIND("-",I196)),IF(ISERROR(FIND("+",I196)),I196,LEFT(I196,FIND("+",I196)-1)),LEFT(I196,FIND("-",I196)-1)),'Brown tagset'!$A:$A,0))</f>
        <v>proper noun or part of name phrase</v>
      </c>
      <c r="K196" s="5" t="s">
        <v>13</v>
      </c>
      <c r="L196" s="5" t="str">
        <f>INDEX('Brown-Universal mapping'!$B:$B,MATCH(I196,'Brown-Universal mapping'!$A:$A,0))</f>
        <v>NOUN</v>
      </c>
      <c r="M196" s="5">
        <f t="shared" si="22"/>
        <v>1</v>
      </c>
      <c r="N196" s="5">
        <f t="shared" si="23"/>
        <v>1</v>
      </c>
      <c r="P196" s="12" t="s">
        <v>182</v>
      </c>
      <c r="Q196" s="7" t="s">
        <v>287</v>
      </c>
      <c r="R196" s="7" t="str">
        <f>INDEX('Brown tagset'!$B:$B,MATCH(IF(ISERROR(FIND("-",Q196)),IF(ISERROR(FIND("+",Q196)),Q196,LEFT(Q196,FIND("+",Q196)-1)),LEFT(Q196,FIND("-",Q196)-1)),'Brown tagset'!$A:$A,0))</f>
        <v>proper noun or part of name phrase</v>
      </c>
      <c r="S196" s="7"/>
      <c r="T196" s="7" t="str">
        <f>INDEX('Brown-Universal mapping'!$B:$B,MATCH(Q196,'Brown-Universal mapping'!$A:$A,0))</f>
        <v>NOUN</v>
      </c>
      <c r="U196" s="7">
        <f t="shared" si="24"/>
        <v>1</v>
      </c>
      <c r="V196" s="7">
        <f t="shared" si="25"/>
        <v>1</v>
      </c>
      <c r="X196" s="12" t="s">
        <v>182</v>
      </c>
      <c r="Y196" s="7" t="s">
        <v>287</v>
      </c>
      <c r="Z196" s="7" t="str">
        <f>INDEX('Brown tagset'!$B:$B,MATCH(IF(ISERROR(FIND("-",Y196)),IF(ISERROR(FIND("+",Y196)),Y196,LEFT(Y196,FIND("+",Y196)-1)),LEFT(Y196,FIND("-",Y196)-1)),'Brown tagset'!$A:$A,0))</f>
        <v>proper noun or part of name phrase</v>
      </c>
      <c r="AA196" s="7"/>
      <c r="AB196" s="7" t="str">
        <f>INDEX('Brown-Universal mapping'!$B:$B,MATCH(Y196,'Brown-Universal mapping'!$A:$A,0))</f>
        <v>NOUN</v>
      </c>
      <c r="AC196" s="7">
        <f t="shared" si="28"/>
        <v>1</v>
      </c>
      <c r="AD196" s="7">
        <f t="shared" si="29"/>
        <v>1</v>
      </c>
      <c r="AF196" s="9" t="s">
        <v>66</v>
      </c>
      <c r="AG196" s="9" t="str">
        <f>INDEX('Brown tagset'!$B:$B,MATCH(IF(ISERROR(FIND("-",AF196)),IF(ISERROR(FIND("+",AF196)),AF196,LEFT(AF196,FIND("+",AF196)-1)),LEFT(AF196,FIND("-",AF196)-1)),'Brown tagset'!$A:$A,0))</f>
        <v>proper noun or part of name phrase</v>
      </c>
      <c r="AH196" s="9" t="s">
        <v>13</v>
      </c>
      <c r="AI196" s="9" t="str">
        <f>INDEX('Brown-Universal mapping'!$B:$B,MATCH(AF196,'Brown-Universal mapping'!$A:$A,0))</f>
        <v>NOUN</v>
      </c>
      <c r="AJ196" s="9">
        <f t="shared" si="26"/>
        <v>1</v>
      </c>
      <c r="AK196" s="9">
        <f t="shared" si="27"/>
        <v>1</v>
      </c>
      <c r="AM196" s="6">
        <f t="shared" si="30"/>
        <v>3</v>
      </c>
      <c r="AN196" s="6">
        <f t="shared" si="31"/>
        <v>3</v>
      </c>
      <c r="AP196" s="6" t="str">
        <f t="shared" si="32"/>
        <v>proper noun or part of name phrase3</v>
      </c>
    </row>
    <row r="197" spans="1:42" x14ac:dyDescent="0.25">
      <c r="A197" s="29" t="s">
        <v>183</v>
      </c>
      <c r="B197" s="29"/>
      <c r="D197" s="3" t="s">
        <v>66</v>
      </c>
      <c r="E197" s="3" t="str">
        <f>INDEX('Brown tagset'!$B:$B,MATCH(IF(ISERROR(FIND("-",D197)),IF(ISERROR(FIND("+",D197)),D197,LEFT(D197,FIND("+",D197)-1)),LEFT(D197,FIND("-",D197)-1)),'Brown tagset'!$A:$A,0))</f>
        <v>proper noun or part of name phrase</v>
      </c>
      <c r="F197" s="3"/>
      <c r="G197" s="3" t="str">
        <f>INDEX('Brown-Universal mapping'!$B:$B,MATCH(D197,'Brown-Universal mapping'!$A:$A,0))</f>
        <v>NOUN</v>
      </c>
      <c r="I197" s="5" t="s">
        <v>66</v>
      </c>
      <c r="J197" s="5" t="str">
        <f>INDEX('Brown tagset'!$B:$B,MATCH(IF(ISERROR(FIND("-",I197)),IF(ISERROR(FIND("+",I197)),I197,LEFT(I197,FIND("+",I197)-1)),LEFT(I197,FIND("-",I197)-1)),'Brown tagset'!$A:$A,0))</f>
        <v>proper noun or part of name phrase</v>
      </c>
      <c r="K197" s="5" t="s">
        <v>13</v>
      </c>
      <c r="L197" s="5" t="str">
        <f>INDEX('Brown-Universal mapping'!$B:$B,MATCH(I197,'Brown-Universal mapping'!$A:$A,0))</f>
        <v>NOUN</v>
      </c>
      <c r="M197" s="5">
        <f t="shared" si="22"/>
        <v>1</v>
      </c>
      <c r="N197" s="5">
        <f t="shared" si="23"/>
        <v>1</v>
      </c>
      <c r="P197" s="12" t="s">
        <v>183</v>
      </c>
      <c r="Q197" s="7" t="s">
        <v>287</v>
      </c>
      <c r="R197" s="7" t="str">
        <f>INDEX('Brown tagset'!$B:$B,MATCH(IF(ISERROR(FIND("-",Q197)),IF(ISERROR(FIND("+",Q197)),Q197,LEFT(Q197,FIND("+",Q197)-1)),LEFT(Q197,FIND("-",Q197)-1)),'Brown tagset'!$A:$A,0))</f>
        <v>proper noun or part of name phrase</v>
      </c>
      <c r="S197" s="7"/>
      <c r="T197" s="7" t="str">
        <f>INDEX('Brown-Universal mapping'!$B:$B,MATCH(Q197,'Brown-Universal mapping'!$A:$A,0))</f>
        <v>NOUN</v>
      </c>
      <c r="U197" s="7">
        <f t="shared" si="24"/>
        <v>1</v>
      </c>
      <c r="V197" s="7">
        <f t="shared" si="25"/>
        <v>1</v>
      </c>
      <c r="X197" s="12" t="s">
        <v>183</v>
      </c>
      <c r="Y197" s="7" t="s">
        <v>287</v>
      </c>
      <c r="Z197" s="7" t="str">
        <f>INDEX('Brown tagset'!$B:$B,MATCH(IF(ISERROR(FIND("-",Y197)),IF(ISERROR(FIND("+",Y197)),Y197,LEFT(Y197,FIND("+",Y197)-1)),LEFT(Y197,FIND("-",Y197)-1)),'Brown tagset'!$A:$A,0))</f>
        <v>proper noun or part of name phrase</v>
      </c>
      <c r="AA197" s="7"/>
      <c r="AB197" s="7" t="str">
        <f>INDEX('Brown-Universal mapping'!$B:$B,MATCH(Y197,'Brown-Universal mapping'!$A:$A,0))</f>
        <v>NOUN</v>
      </c>
      <c r="AC197" s="7">
        <f t="shared" si="28"/>
        <v>1</v>
      </c>
      <c r="AD197" s="7">
        <f t="shared" si="29"/>
        <v>1</v>
      </c>
      <c r="AF197" s="9" t="s">
        <v>66</v>
      </c>
      <c r="AG197" s="9" t="str">
        <f>INDEX('Brown tagset'!$B:$B,MATCH(IF(ISERROR(FIND("-",AF197)),IF(ISERROR(FIND("+",AF197)),AF197,LEFT(AF197,FIND("+",AF197)-1)),LEFT(AF197,FIND("-",AF197)-1)),'Brown tagset'!$A:$A,0))</f>
        <v>proper noun or part of name phrase</v>
      </c>
      <c r="AH197" s="9" t="s">
        <v>13</v>
      </c>
      <c r="AI197" s="9" t="str">
        <f>INDEX('Brown-Universal mapping'!$B:$B,MATCH(AF197,'Brown-Universal mapping'!$A:$A,0))</f>
        <v>NOUN</v>
      </c>
      <c r="AJ197" s="9">
        <f t="shared" si="26"/>
        <v>1</v>
      </c>
      <c r="AK197" s="9">
        <f t="shared" si="27"/>
        <v>1</v>
      </c>
      <c r="AM197" s="6">
        <f t="shared" si="30"/>
        <v>3</v>
      </c>
      <c r="AN197" s="6">
        <f t="shared" si="31"/>
        <v>3</v>
      </c>
      <c r="AP197" s="6" t="str">
        <f t="shared" si="32"/>
        <v>proper noun or part of name phrase3</v>
      </c>
    </row>
    <row r="198" spans="1:42" x14ac:dyDescent="0.25">
      <c r="A198" s="29" t="s">
        <v>38</v>
      </c>
      <c r="B198" s="29"/>
      <c r="D198" s="3" t="s">
        <v>38</v>
      </c>
      <c r="E198" s="3" t="str">
        <f>INDEX('Brown tagset'!$B:$B,MATCH(IF(ISERROR(FIND("-",D198)),IF(ISERROR(FIND("+",D198)),D198,LEFT(D198,FIND("+",D198)-1)),LEFT(D198,FIND("-",D198)-1)),'Brown tagset'!$A:$A,0))</f>
        <v>sentence (. ; ? *)</v>
      </c>
      <c r="F198" s="3"/>
      <c r="G198" s="3" t="str">
        <f>INDEX('Brown-Universal mapping'!$B:$B,MATCH(D198,'Brown-Universal mapping'!$A:$A,0))</f>
        <v>.</v>
      </c>
      <c r="I198" s="5" t="s">
        <v>38</v>
      </c>
      <c r="J198" s="5" t="str">
        <f>INDEX('Brown tagset'!$B:$B,MATCH(IF(ISERROR(FIND("-",I198)),IF(ISERROR(FIND("+",I198)),I198,LEFT(I198,FIND("+",I198)-1)),LEFT(I198,FIND("-",I198)-1)),'Brown tagset'!$A:$A,0))</f>
        <v>sentence (. ; ? *)</v>
      </c>
      <c r="K198" s="5" t="s">
        <v>38</v>
      </c>
      <c r="L198" s="5" t="str">
        <f>INDEX('Brown-Universal mapping'!$B:$B,MATCH(I198,'Brown-Universal mapping'!$A:$A,0))</f>
        <v>.</v>
      </c>
      <c r="M198" s="5">
        <f t="shared" si="22"/>
        <v>1</v>
      </c>
      <c r="N198" s="5">
        <f t="shared" si="23"/>
        <v>1</v>
      </c>
      <c r="P198" s="12" t="s">
        <v>38</v>
      </c>
      <c r="Q198" s="7" t="s">
        <v>38</v>
      </c>
      <c r="R198" s="7" t="str">
        <f>INDEX('Brown tagset'!$B:$B,MATCH(IF(ISERROR(FIND("-",Q198)),IF(ISERROR(FIND("+",Q198)),Q198,LEFT(Q198,FIND("+",Q198)-1)),LEFT(Q198,FIND("-",Q198)-1)),'Brown tagset'!$A:$A,0))</f>
        <v>sentence (. ; ? *)</v>
      </c>
      <c r="S198" s="7"/>
      <c r="T198" s="7" t="str">
        <f>INDEX('Brown-Universal mapping'!$B:$B,MATCH(Q198,'Brown-Universal mapping'!$A:$A,0))</f>
        <v>.</v>
      </c>
      <c r="U198" s="7">
        <f t="shared" si="24"/>
        <v>1</v>
      </c>
      <c r="V198" s="7">
        <f t="shared" si="25"/>
        <v>1</v>
      </c>
      <c r="X198" s="12" t="s">
        <v>38</v>
      </c>
      <c r="Y198" s="7" t="s">
        <v>38</v>
      </c>
      <c r="Z198" s="7" t="str">
        <f>INDEX('Brown tagset'!$B:$B,MATCH(IF(ISERROR(FIND("-",Y198)),IF(ISERROR(FIND("+",Y198)),Y198,LEFT(Y198,FIND("+",Y198)-1)),LEFT(Y198,FIND("-",Y198)-1)),'Brown tagset'!$A:$A,0))</f>
        <v>sentence (. ; ? *)</v>
      </c>
      <c r="AA198" s="7"/>
      <c r="AB198" s="7" t="str">
        <f>INDEX('Brown-Universal mapping'!$B:$B,MATCH(Y198,'Brown-Universal mapping'!$A:$A,0))</f>
        <v>.</v>
      </c>
      <c r="AC198" s="7">
        <f t="shared" si="28"/>
        <v>1</v>
      </c>
      <c r="AD198" s="7">
        <f t="shared" si="29"/>
        <v>1</v>
      </c>
      <c r="AF198" s="9" t="s">
        <v>38</v>
      </c>
      <c r="AG198" s="9" t="str">
        <f>INDEX('Brown tagset'!$B:$B,MATCH(IF(ISERROR(FIND("-",AF198)),IF(ISERROR(FIND("+",AF198)),AF198,LEFT(AF198,FIND("+",AF198)-1)),LEFT(AF198,FIND("-",AF198)-1)),'Brown tagset'!$A:$A,0))</f>
        <v>sentence (. ; ? *)</v>
      </c>
      <c r="AH198" s="9" t="s">
        <v>38</v>
      </c>
      <c r="AI198" s="9" t="str">
        <f>INDEX('Brown-Universal mapping'!$B:$B,MATCH(AF198,'Brown-Universal mapping'!$A:$A,0))</f>
        <v>.</v>
      </c>
      <c r="AJ198" s="9">
        <f t="shared" si="26"/>
        <v>1</v>
      </c>
      <c r="AK198" s="9">
        <f t="shared" si="27"/>
        <v>1</v>
      </c>
      <c r="AM198" s="6">
        <f t="shared" si="30"/>
        <v>3</v>
      </c>
      <c r="AN198" s="6">
        <f t="shared" si="31"/>
        <v>3</v>
      </c>
      <c r="AP198" s="6" t="str">
        <f t="shared" si="32"/>
        <v>sentence (. ; ? *)3</v>
      </c>
    </row>
    <row r="199" spans="1:42" x14ac:dyDescent="0.25">
      <c r="A199" s="29" t="s">
        <v>184</v>
      </c>
      <c r="B199" s="29"/>
      <c r="D199" s="3" t="s">
        <v>26</v>
      </c>
      <c r="E199" s="3" t="str">
        <f>INDEX('Brown tagset'!$B:$B,MATCH(IF(ISERROR(FIND("-",D199)),IF(ISERROR(FIND("+",D199)),D199,LEFT(D199,FIND("+",D199)-1)),LEFT(D199,FIND("-",D199)-1)),'Brown tagset'!$A:$A,0))</f>
        <v>coordinating conjunction (and, or)</v>
      </c>
      <c r="F199" s="3"/>
      <c r="G199" s="3" t="str">
        <f>INDEX('Brown-Universal mapping'!$B:$B,MATCH(D199,'Brown-Universal mapping'!$A:$A,0))</f>
        <v>CONJ</v>
      </c>
      <c r="I199" s="5" t="s">
        <v>26</v>
      </c>
      <c r="J199" s="5" t="str">
        <f>INDEX('Brown tagset'!$B:$B,MATCH(IF(ISERROR(FIND("-",I199)),IF(ISERROR(FIND("+",I199)),I199,LEFT(I199,FIND("+",I199)-1)),LEFT(I199,FIND("-",I199)-1)),'Brown tagset'!$A:$A,0))</f>
        <v>coordinating conjunction (and, or)</v>
      </c>
      <c r="K199" s="5" t="s">
        <v>27</v>
      </c>
      <c r="L199" s="5" t="str">
        <f>INDEX('Brown-Universal mapping'!$B:$B,MATCH(I199,'Brown-Universal mapping'!$A:$A,0))</f>
        <v>CONJ</v>
      </c>
      <c r="M199" s="5">
        <f t="shared" si="22"/>
        <v>1</v>
      </c>
      <c r="N199" s="5">
        <f t="shared" si="23"/>
        <v>1</v>
      </c>
      <c r="P199" s="12" t="s">
        <v>184</v>
      </c>
      <c r="Q199" s="7" t="s">
        <v>293</v>
      </c>
      <c r="R199" s="7" t="str">
        <f>INDEX('Brown tagset'!$B:$B,MATCH(IF(ISERROR(FIND("-",Q199)),IF(ISERROR(FIND("+",Q199)),Q199,LEFT(Q199,FIND("+",Q199)-1)),LEFT(Q199,FIND("-",Q199)-1)),'Brown tagset'!$A:$A,0))</f>
        <v>coordinating conjunction (and, or)</v>
      </c>
      <c r="S199" s="7"/>
      <c r="T199" s="7" t="str">
        <f>INDEX('Brown-Universal mapping'!$B:$B,MATCH(Q199,'Brown-Universal mapping'!$A:$A,0))</f>
        <v>CONJ</v>
      </c>
      <c r="U199" s="7">
        <f t="shared" si="24"/>
        <v>1</v>
      </c>
      <c r="V199" s="7">
        <f t="shared" si="25"/>
        <v>1</v>
      </c>
      <c r="X199" s="12" t="s">
        <v>184</v>
      </c>
      <c r="Y199" s="7" t="s">
        <v>293</v>
      </c>
      <c r="Z199" s="7" t="str">
        <f>INDEX('Brown tagset'!$B:$B,MATCH(IF(ISERROR(FIND("-",Y199)),IF(ISERROR(FIND("+",Y199)),Y199,LEFT(Y199,FIND("+",Y199)-1)),LEFT(Y199,FIND("-",Y199)-1)),'Brown tagset'!$A:$A,0))</f>
        <v>coordinating conjunction (and, or)</v>
      </c>
      <c r="AA199" s="7"/>
      <c r="AB199" s="7" t="str">
        <f>INDEX('Brown-Universal mapping'!$B:$B,MATCH(Y199,'Brown-Universal mapping'!$A:$A,0))</f>
        <v>CONJ</v>
      </c>
      <c r="AC199" s="7">
        <f t="shared" si="28"/>
        <v>1</v>
      </c>
      <c r="AD199" s="7">
        <f t="shared" si="29"/>
        <v>1</v>
      </c>
      <c r="AF199" s="9" t="s">
        <v>26</v>
      </c>
      <c r="AG199" s="9" t="str">
        <f>INDEX('Brown tagset'!$B:$B,MATCH(IF(ISERROR(FIND("-",AF199)),IF(ISERROR(FIND("+",AF199)),AF199,LEFT(AF199,FIND("+",AF199)-1)),LEFT(AF199,FIND("-",AF199)-1)),'Brown tagset'!$A:$A,0))</f>
        <v>coordinating conjunction (and, or)</v>
      </c>
      <c r="AH199" s="9" t="s">
        <v>27</v>
      </c>
      <c r="AI199" s="9" t="str">
        <f>INDEX('Brown-Universal mapping'!$B:$B,MATCH(AF199,'Brown-Universal mapping'!$A:$A,0))</f>
        <v>CONJ</v>
      </c>
      <c r="AJ199" s="9">
        <f t="shared" si="26"/>
        <v>1</v>
      </c>
      <c r="AK199" s="9">
        <f t="shared" si="27"/>
        <v>1</v>
      </c>
      <c r="AM199" s="6">
        <f t="shared" si="30"/>
        <v>3</v>
      </c>
      <c r="AN199" s="6">
        <f t="shared" si="31"/>
        <v>3</v>
      </c>
      <c r="AP199" s="6" t="str">
        <f t="shared" si="32"/>
        <v>coordinating conjunction (and, or)3</v>
      </c>
    </row>
    <row r="200" spans="1:42" x14ac:dyDescent="0.25">
      <c r="A200" s="29" t="s">
        <v>170</v>
      </c>
      <c r="B200" s="29"/>
      <c r="D200" s="3" t="s">
        <v>171</v>
      </c>
      <c r="E200" s="3" t="str">
        <f>INDEX('Brown tagset'!$B:$B,MATCH(IF(ISERROR(FIND("-",D200)),IF(ISERROR(FIND("+",D200)),D200,LEFT(D200,FIND("+",D200)-1)),LEFT(D200,FIND("-",D200)-1)),'Brown tagset'!$A:$A,0))</f>
        <v>other nominative personal pronoun (I, we, they, you)</v>
      </c>
      <c r="F200" s="3"/>
      <c r="G200" s="3" t="str">
        <f>INDEX('Brown-Universal mapping'!$B:$B,MATCH(D200,'Brown-Universal mapping'!$A:$A,0))</f>
        <v>PRON</v>
      </c>
      <c r="I200" s="5" t="s">
        <v>171</v>
      </c>
      <c r="J200" s="5" t="str">
        <f>INDEX('Brown tagset'!$B:$B,MATCH(IF(ISERROR(FIND("-",I200)),IF(ISERROR(FIND("+",I200)),I200,LEFT(I200,FIND("+",I200)-1)),LEFT(I200,FIND("-",I200)-1)),'Brown tagset'!$A:$A,0))</f>
        <v>other nominative personal pronoun (I, we, they, you)</v>
      </c>
      <c r="K200" s="5" t="s">
        <v>2</v>
      </c>
      <c r="L200" s="5" t="str">
        <f>INDEX('Brown-Universal mapping'!$B:$B,MATCH(I200,'Brown-Universal mapping'!$A:$A,0))</f>
        <v>PRON</v>
      </c>
      <c r="M200" s="5">
        <f t="shared" si="22"/>
        <v>1</v>
      </c>
      <c r="N200" s="5">
        <f t="shared" si="23"/>
        <v>1</v>
      </c>
      <c r="P200" s="12" t="s">
        <v>170</v>
      </c>
      <c r="Q200" s="7" t="s">
        <v>300</v>
      </c>
      <c r="R200" s="7" t="str">
        <f>INDEX('Brown tagset'!$B:$B,MATCH(IF(ISERROR(FIND("-",Q200)),IF(ISERROR(FIND("+",Q200)),Q200,LEFT(Q200,FIND("+",Q200)-1)),LEFT(Q200,FIND("-",Q200)-1)),'Brown tagset'!$A:$A,0))</f>
        <v>other nominative personal pronoun (I, we, they, you)</v>
      </c>
      <c r="S200" s="7"/>
      <c r="T200" s="7" t="str">
        <f>INDEX('Brown-Universal mapping'!$B:$B,MATCH(Q200,'Brown-Universal mapping'!$A:$A,0))</f>
        <v>PRON</v>
      </c>
      <c r="U200" s="7">
        <f t="shared" si="24"/>
        <v>1</v>
      </c>
      <c r="V200" s="7">
        <f t="shared" si="25"/>
        <v>1</v>
      </c>
      <c r="X200" s="12" t="s">
        <v>170</v>
      </c>
      <c r="Y200" s="7" t="s">
        <v>300</v>
      </c>
      <c r="Z200" s="7" t="str">
        <f>INDEX('Brown tagset'!$B:$B,MATCH(IF(ISERROR(FIND("-",Y200)),IF(ISERROR(FIND("+",Y200)),Y200,LEFT(Y200,FIND("+",Y200)-1)),LEFT(Y200,FIND("-",Y200)-1)),'Brown tagset'!$A:$A,0))</f>
        <v>other nominative personal pronoun (I, we, they, you)</v>
      </c>
      <c r="AA200" s="7"/>
      <c r="AB200" s="7" t="str">
        <f>INDEX('Brown-Universal mapping'!$B:$B,MATCH(Y200,'Brown-Universal mapping'!$A:$A,0))</f>
        <v>PRON</v>
      </c>
      <c r="AC200" s="7">
        <f t="shared" si="28"/>
        <v>1</v>
      </c>
      <c r="AD200" s="7">
        <f t="shared" si="29"/>
        <v>1</v>
      </c>
      <c r="AF200" s="9" t="s">
        <v>171</v>
      </c>
      <c r="AG200" s="9" t="str">
        <f>INDEX('Brown tagset'!$B:$B,MATCH(IF(ISERROR(FIND("-",AF200)),IF(ISERROR(FIND("+",AF200)),AF200,LEFT(AF200,FIND("+",AF200)-1)),LEFT(AF200,FIND("-",AF200)-1)),'Brown tagset'!$A:$A,0))</f>
        <v>other nominative personal pronoun (I, we, they, you)</v>
      </c>
      <c r="AH200" s="9" t="s">
        <v>2</v>
      </c>
      <c r="AI200" s="9" t="str">
        <f>INDEX('Brown-Universal mapping'!$B:$B,MATCH(AF200,'Brown-Universal mapping'!$A:$A,0))</f>
        <v>PRON</v>
      </c>
      <c r="AJ200" s="9">
        <f t="shared" si="26"/>
        <v>1</v>
      </c>
      <c r="AK200" s="9">
        <f t="shared" si="27"/>
        <v>1</v>
      </c>
      <c r="AM200" s="6">
        <f t="shared" si="30"/>
        <v>3</v>
      </c>
      <c r="AN200" s="6">
        <f t="shared" si="31"/>
        <v>3</v>
      </c>
      <c r="AP200" s="6" t="str">
        <f t="shared" si="32"/>
        <v>other nominative personal pronoun (I, we, they, you)3</v>
      </c>
    </row>
    <row r="201" spans="1:42" x14ac:dyDescent="0.25">
      <c r="A201" s="29" t="s">
        <v>185</v>
      </c>
      <c r="B201" s="29"/>
      <c r="D201" s="3" t="s">
        <v>186</v>
      </c>
      <c r="E201" s="3" t="str">
        <f>INDEX('Brown tagset'!$B:$B,MATCH(IF(ISERROR(FIND("-",D201)),IF(ISERROR(FIND("+",D201)),D201,LEFT(D201,FIND("+",D201)-1)),LEFT(D201,FIND("-",D201)-1)),'Brown tagset'!$A:$A,0))</f>
        <v>modal auxiliary (can, should, will)</v>
      </c>
      <c r="F201" s="3"/>
      <c r="G201" s="3" t="str">
        <f>INDEX('Brown-Universal mapping'!$B:$B,MATCH(D201,'Brown-Universal mapping'!$A:$A,0))</f>
        <v>VERB</v>
      </c>
      <c r="I201" s="5" t="s">
        <v>186</v>
      </c>
      <c r="J201" s="5" t="str">
        <f>INDEX('Brown tagset'!$B:$B,MATCH(IF(ISERROR(FIND("-",I201)),IF(ISERROR(FIND("+",I201)),I201,LEFT(I201,FIND("+",I201)-1)),LEFT(I201,FIND("-",I201)-1)),'Brown tagset'!$A:$A,0))</f>
        <v>modal auxiliary (can, should, will)</v>
      </c>
      <c r="K201" s="5" t="s">
        <v>2</v>
      </c>
      <c r="L201" s="5" t="str">
        <f>INDEX('Brown-Universal mapping'!$B:$B,MATCH(I201,'Brown-Universal mapping'!$A:$A,0))</f>
        <v>VERB</v>
      </c>
      <c r="M201" s="5">
        <f t="shared" si="22"/>
        <v>1</v>
      </c>
      <c r="N201" s="5">
        <f t="shared" si="23"/>
        <v>1</v>
      </c>
      <c r="P201" s="12" t="s">
        <v>326</v>
      </c>
      <c r="Q201" s="7" t="s">
        <v>327</v>
      </c>
      <c r="R201" s="7" t="str">
        <f>INDEX('Brown tagset'!$B:$B,MATCH(IF(ISERROR(FIND("-",Q201)),IF(ISERROR(FIND("+",Q201)),Q201,LEFT(Q201,FIND("+",Q201)-1)),LEFT(Q201,FIND("-",Q201)-1)),'Brown tagset'!$A:$A,0))</f>
        <v>modal auxiliary (can, should, will)</v>
      </c>
      <c r="S201" s="7"/>
      <c r="T201" s="7" t="str">
        <f>INDEX('Brown-Universal mapping'!$B:$B,MATCH(Q201,'Brown-Universal mapping'!$A:$A,0))</f>
        <v>VERB</v>
      </c>
      <c r="U201" s="7">
        <f t="shared" si="24"/>
        <v>0</v>
      </c>
      <c r="V201" s="7">
        <f t="shared" si="25"/>
        <v>1</v>
      </c>
      <c r="X201" s="12" t="s">
        <v>185</v>
      </c>
      <c r="Y201" s="7" t="s">
        <v>871</v>
      </c>
      <c r="Z201" s="7" t="str">
        <f>INDEX('Brown tagset'!$B:$B,MATCH(IF(ISERROR(FIND("-",Y201)),IF(ISERROR(FIND("+",Y201)),Y201,LEFT(Y201,FIND("+",Y201)-1)),LEFT(Y201,FIND("-",Y201)-1)),'Brown tagset'!$A:$A,0))</f>
        <v>modal auxiliary (can, should, will)</v>
      </c>
      <c r="AA201" s="7"/>
      <c r="AB201" s="7" t="str">
        <f>INDEX('Brown-Universal mapping'!$B:$B,MATCH(Y201,'Brown-Universal mapping'!$A:$A,0))</f>
        <v>VERB</v>
      </c>
      <c r="AC201" s="7">
        <f t="shared" si="28"/>
        <v>1</v>
      </c>
      <c r="AD201" s="7">
        <f t="shared" si="29"/>
        <v>1</v>
      </c>
      <c r="AF201" s="9" t="s">
        <v>186</v>
      </c>
      <c r="AG201" s="9" t="str">
        <f>INDEX('Brown tagset'!$B:$B,MATCH(IF(ISERROR(FIND("-",AF201)),IF(ISERROR(FIND("+",AF201)),AF201,LEFT(AF201,FIND("+",AF201)-1)),LEFT(AF201,FIND("-",AF201)-1)),'Brown tagset'!$A:$A,0))</f>
        <v>modal auxiliary (can, should, will)</v>
      </c>
      <c r="AH201" s="9" t="s">
        <v>2</v>
      </c>
      <c r="AI201" s="9" t="str">
        <f>INDEX('Brown-Universal mapping'!$B:$B,MATCH(AF201,'Brown-Universal mapping'!$A:$A,0))</f>
        <v>VERB</v>
      </c>
      <c r="AJ201" s="9">
        <f t="shared" si="26"/>
        <v>1</v>
      </c>
      <c r="AK201" s="9">
        <f t="shared" si="27"/>
        <v>1</v>
      </c>
      <c r="AM201" s="6">
        <f t="shared" si="30"/>
        <v>3</v>
      </c>
      <c r="AN201" s="6">
        <f t="shared" si="31"/>
        <v>3</v>
      </c>
      <c r="AP201" s="6" t="str">
        <f t="shared" si="32"/>
        <v>modal auxiliary (can, should, will)3</v>
      </c>
    </row>
    <row r="202" spans="1:42" x14ac:dyDescent="0.25">
      <c r="A202" s="29" t="s">
        <v>100</v>
      </c>
      <c r="B202" s="29"/>
      <c r="D202" s="3" t="s">
        <v>101</v>
      </c>
      <c r="E202" s="3" t="str">
        <f>INDEX('Brown tagset'!$B:$B,MATCH(IF(ISERROR(FIND("-",D202)),IF(ISERROR(FIND("+",D202)),D202,LEFT(D202,FIND("+",D202)-1)),LEFT(D202,FIND("-",D202)-1)),'Brown tagset'!$A:$A,0))</f>
        <v>have</v>
      </c>
      <c r="F202" s="3"/>
      <c r="G202" s="3" t="str">
        <f>INDEX('Brown-Universal mapping'!$B:$B,MATCH(D202,'Brown-Universal mapping'!$A:$A,0))</f>
        <v>VERB</v>
      </c>
      <c r="I202" s="5" t="s">
        <v>101</v>
      </c>
      <c r="J202" s="5" t="str">
        <f>INDEX('Brown tagset'!$B:$B,MATCH(IF(ISERROR(FIND("-",I202)),IF(ISERROR(FIND("+",I202)),I202,LEFT(I202,FIND("+",I202)-1)),LEFT(I202,FIND("-",I202)-1)),'Brown tagset'!$A:$A,0))</f>
        <v>have</v>
      </c>
      <c r="K202" s="5" t="s">
        <v>2</v>
      </c>
      <c r="L202" s="5" t="str">
        <f>INDEX('Brown-Universal mapping'!$B:$B,MATCH(I202,'Brown-Universal mapping'!$A:$A,0))</f>
        <v>VERB</v>
      </c>
      <c r="M202" s="5">
        <f t="shared" si="22"/>
        <v>1</v>
      </c>
      <c r="N202" s="5">
        <f t="shared" si="23"/>
        <v>1</v>
      </c>
      <c r="P202" s="12" t="s">
        <v>100</v>
      </c>
      <c r="Q202" s="7" t="s">
        <v>313</v>
      </c>
      <c r="R202" s="7" t="str">
        <f>INDEX('Brown tagset'!$B:$B,MATCH(IF(ISERROR(FIND("-",Q202)),IF(ISERROR(FIND("+",Q202)),Q202,LEFT(Q202,FIND("+",Q202)-1)),LEFT(Q202,FIND("-",Q202)-1)),'Brown tagset'!$A:$A,0))</f>
        <v>have</v>
      </c>
      <c r="S202" s="7"/>
      <c r="T202" s="7" t="str">
        <f>INDEX('Brown-Universal mapping'!$B:$B,MATCH(Q202,'Brown-Universal mapping'!$A:$A,0))</f>
        <v>VERB</v>
      </c>
      <c r="U202" s="7">
        <f t="shared" si="24"/>
        <v>1</v>
      </c>
      <c r="V202" s="7">
        <f t="shared" si="25"/>
        <v>1</v>
      </c>
      <c r="X202" s="12" t="s">
        <v>100</v>
      </c>
      <c r="Y202" s="7" t="s">
        <v>313</v>
      </c>
      <c r="Z202" s="7" t="str">
        <f>INDEX('Brown tagset'!$B:$B,MATCH(IF(ISERROR(FIND("-",Y202)),IF(ISERROR(FIND("+",Y202)),Y202,LEFT(Y202,FIND("+",Y202)-1)),LEFT(Y202,FIND("-",Y202)-1)),'Brown tagset'!$A:$A,0))</f>
        <v>have</v>
      </c>
      <c r="AA202" s="7"/>
      <c r="AB202" s="7" t="str">
        <f>INDEX('Brown-Universal mapping'!$B:$B,MATCH(Y202,'Brown-Universal mapping'!$A:$A,0))</f>
        <v>VERB</v>
      </c>
      <c r="AC202" s="7">
        <f t="shared" si="28"/>
        <v>1</v>
      </c>
      <c r="AD202" s="7">
        <f t="shared" si="29"/>
        <v>1</v>
      </c>
      <c r="AF202" s="9" t="s">
        <v>101</v>
      </c>
      <c r="AG202" s="9" t="str">
        <f>INDEX('Brown tagset'!$B:$B,MATCH(IF(ISERROR(FIND("-",AF202)),IF(ISERROR(FIND("+",AF202)),AF202,LEFT(AF202,FIND("+",AF202)-1)),LEFT(AF202,FIND("-",AF202)-1)),'Brown tagset'!$A:$A,0))</f>
        <v>have</v>
      </c>
      <c r="AH202" s="9" t="s">
        <v>2</v>
      </c>
      <c r="AI202" s="9" t="str">
        <f>INDEX('Brown-Universal mapping'!$B:$B,MATCH(AF202,'Brown-Universal mapping'!$A:$A,0))</f>
        <v>VERB</v>
      </c>
      <c r="AJ202" s="9">
        <f t="shared" si="26"/>
        <v>1</v>
      </c>
      <c r="AK202" s="9">
        <f t="shared" si="27"/>
        <v>1</v>
      </c>
      <c r="AM202" s="6">
        <f t="shared" si="30"/>
        <v>3</v>
      </c>
      <c r="AN202" s="6">
        <f t="shared" si="31"/>
        <v>3</v>
      </c>
      <c r="AP202" s="6" t="str">
        <f t="shared" si="32"/>
        <v>have3</v>
      </c>
    </row>
    <row r="203" spans="1:42" x14ac:dyDescent="0.25">
      <c r="A203" s="25" t="s">
        <v>187</v>
      </c>
      <c r="B203" s="25"/>
      <c r="D203" s="3" t="s">
        <v>127</v>
      </c>
      <c r="E203" s="3" t="str">
        <f>INDEX('Brown tagset'!$B:$B,MATCH(IF(ISERROR(FIND("-",D203)),IF(ISERROR(FIND("+",D203)),D203,LEFT(D203,FIND("+",D203)-1)),LEFT(D203,FIND("-",D203)-1)),'Brown tagset'!$A:$A,0))</f>
        <v>verb, past participle</v>
      </c>
      <c r="F203" s="3"/>
      <c r="G203" s="3" t="str">
        <f>INDEX('Brown-Universal mapping'!$B:$B,MATCH(D203,'Brown-Universal mapping'!$A:$A,0))</f>
        <v>VERB</v>
      </c>
      <c r="I203" s="5" t="s">
        <v>127</v>
      </c>
      <c r="J203" s="5" t="str">
        <f>INDEX('Brown tagset'!$B:$B,MATCH(IF(ISERROR(FIND("-",I203)),IF(ISERROR(FIND("+",I203)),I203,LEFT(I203,FIND("+",I203)-1)),LEFT(I203,FIND("-",I203)-1)),'Brown tagset'!$A:$A,0))</f>
        <v>verb, past participle</v>
      </c>
      <c r="K203" s="5" t="s">
        <v>10</v>
      </c>
      <c r="L203" s="5" t="str">
        <f>INDEX('Brown-Universal mapping'!$B:$B,MATCH(I203,'Brown-Universal mapping'!$A:$A,0))</f>
        <v>VERB</v>
      </c>
      <c r="M203" s="5">
        <f t="shared" si="22"/>
        <v>1</v>
      </c>
      <c r="N203" s="5">
        <f t="shared" si="23"/>
        <v>1</v>
      </c>
      <c r="P203" s="12" t="s">
        <v>187</v>
      </c>
      <c r="Q203" s="7" t="s">
        <v>328</v>
      </c>
      <c r="R203" s="7" t="str">
        <f>INDEX('Brown tagset'!$B:$B,MATCH(IF(ISERROR(FIND("-",Q203)),IF(ISERROR(FIND("+",Q203)),Q203,LEFT(Q203,FIND("+",Q203)-1)),LEFT(Q203,FIND("-",Q203)-1)),'Brown tagset'!$A:$A,0))</f>
        <v>verb, past participle</v>
      </c>
      <c r="S203" s="7"/>
      <c r="T203" s="7" t="str">
        <f>INDEX('Brown-Universal mapping'!$B:$B,MATCH(Q203,'Brown-Universal mapping'!$A:$A,0))</f>
        <v>VERB</v>
      </c>
      <c r="U203" s="7">
        <f t="shared" si="24"/>
        <v>1</v>
      </c>
      <c r="V203" s="7">
        <f t="shared" si="25"/>
        <v>1</v>
      </c>
      <c r="X203" s="12" t="s">
        <v>187</v>
      </c>
      <c r="Y203" s="7" t="s">
        <v>328</v>
      </c>
      <c r="Z203" s="7" t="str">
        <f>INDEX('Brown tagset'!$B:$B,MATCH(IF(ISERROR(FIND("-",Y203)),IF(ISERROR(FIND("+",Y203)),Y203,LEFT(Y203,FIND("+",Y203)-1)),LEFT(Y203,FIND("-",Y203)-1)),'Brown tagset'!$A:$A,0))</f>
        <v>verb, past participle</v>
      </c>
      <c r="AA203" s="7"/>
      <c r="AB203" s="7" t="str">
        <f>INDEX('Brown-Universal mapping'!$B:$B,MATCH(Y203,'Brown-Universal mapping'!$A:$A,0))</f>
        <v>VERB</v>
      </c>
      <c r="AC203" s="7">
        <f t="shared" si="28"/>
        <v>1</v>
      </c>
      <c r="AD203" s="7">
        <f t="shared" si="29"/>
        <v>1</v>
      </c>
      <c r="AF203" s="9" t="s">
        <v>340</v>
      </c>
      <c r="AG203" s="9" t="str">
        <f>INDEX('Brown tagset'!$B:$B,MATCH(IF(ISERROR(FIND("-",AF203)),IF(ISERROR(FIND("+",AF203)),AF203,LEFT(AF203,FIND("+",AF203)-1)),LEFT(AF203,FIND("-",AF203)-1)),'Brown tagset'!$A:$A,0))</f>
        <v>unknown</v>
      </c>
      <c r="AH203" s="9" t="s">
        <v>2</v>
      </c>
      <c r="AI203" s="9" t="str">
        <f>INDEX('Brown-Universal mapping'!$B:$B,MATCH(AF203,'Brown-Universal mapping'!$A:$A,0))</f>
        <v>Unknown</v>
      </c>
      <c r="AJ203" s="9">
        <f t="shared" si="26"/>
        <v>0</v>
      </c>
      <c r="AK203" s="9">
        <f t="shared" si="27"/>
        <v>0</v>
      </c>
      <c r="AM203" s="6">
        <f t="shared" si="30"/>
        <v>2</v>
      </c>
      <c r="AN203" s="6">
        <f t="shared" si="31"/>
        <v>2</v>
      </c>
      <c r="AP203" s="6" t="str">
        <f t="shared" si="32"/>
        <v>unknown2</v>
      </c>
    </row>
    <row r="204" spans="1:42" x14ac:dyDescent="0.25">
      <c r="A204" s="29" t="s">
        <v>153</v>
      </c>
      <c r="B204" s="29"/>
      <c r="D204" s="3" t="s">
        <v>66</v>
      </c>
      <c r="E204" s="3" t="str">
        <f>INDEX('Brown tagset'!$B:$B,MATCH(IF(ISERROR(FIND("-",D204)),IF(ISERROR(FIND("+",D204)),D204,LEFT(D204,FIND("+",D204)-1)),LEFT(D204,FIND("-",D204)-1)),'Brown tagset'!$A:$A,0))</f>
        <v>proper noun or part of name phrase</v>
      </c>
      <c r="F204" s="3"/>
      <c r="G204" s="3" t="str">
        <f>INDEX('Brown-Universal mapping'!$B:$B,MATCH(D204,'Brown-Universal mapping'!$A:$A,0))</f>
        <v>NOUN</v>
      </c>
      <c r="I204" s="5" t="s">
        <v>66</v>
      </c>
      <c r="J204" s="5" t="str">
        <f>INDEX('Brown tagset'!$B:$B,MATCH(IF(ISERROR(FIND("-",I204)),IF(ISERROR(FIND("+",I204)),I204,LEFT(I204,FIND("+",I204)-1)),LEFT(I204,FIND("-",I204)-1)),'Brown tagset'!$A:$A,0))</f>
        <v>proper noun or part of name phrase</v>
      </c>
      <c r="K204" s="5" t="s">
        <v>13</v>
      </c>
      <c r="L204" s="5" t="str">
        <f>INDEX('Brown-Universal mapping'!$B:$B,MATCH(I204,'Brown-Universal mapping'!$A:$A,0))</f>
        <v>NOUN</v>
      </c>
      <c r="M204" s="5">
        <f t="shared" si="22"/>
        <v>1</v>
      </c>
      <c r="N204" s="5">
        <f t="shared" si="23"/>
        <v>1</v>
      </c>
      <c r="P204" s="12" t="s">
        <v>153</v>
      </c>
      <c r="Q204" s="7" t="s">
        <v>287</v>
      </c>
      <c r="R204" s="7" t="str">
        <f>INDEX('Brown tagset'!$B:$B,MATCH(IF(ISERROR(FIND("-",Q204)),IF(ISERROR(FIND("+",Q204)),Q204,LEFT(Q204,FIND("+",Q204)-1)),LEFT(Q204,FIND("-",Q204)-1)),'Brown tagset'!$A:$A,0))</f>
        <v>proper noun or part of name phrase</v>
      </c>
      <c r="S204" s="7"/>
      <c r="T204" s="7" t="str">
        <f>INDEX('Brown-Universal mapping'!$B:$B,MATCH(Q204,'Brown-Universal mapping'!$A:$A,0))</f>
        <v>NOUN</v>
      </c>
      <c r="U204" s="7">
        <f t="shared" si="24"/>
        <v>1</v>
      </c>
      <c r="V204" s="7">
        <f t="shared" si="25"/>
        <v>1</v>
      </c>
      <c r="X204" s="12" t="s">
        <v>153</v>
      </c>
      <c r="Y204" s="7" t="s">
        <v>287</v>
      </c>
      <c r="Z204" s="7" t="str">
        <f>INDEX('Brown tagset'!$B:$B,MATCH(IF(ISERROR(FIND("-",Y204)),IF(ISERROR(FIND("+",Y204)),Y204,LEFT(Y204,FIND("+",Y204)-1)),LEFT(Y204,FIND("-",Y204)-1)),'Brown tagset'!$A:$A,0))</f>
        <v>proper noun or part of name phrase</v>
      </c>
      <c r="AA204" s="7"/>
      <c r="AB204" s="7" t="str">
        <f>INDEX('Brown-Universal mapping'!$B:$B,MATCH(Y204,'Brown-Universal mapping'!$A:$A,0))</f>
        <v>NOUN</v>
      </c>
      <c r="AC204" s="7">
        <f t="shared" si="28"/>
        <v>1</v>
      </c>
      <c r="AD204" s="7">
        <f t="shared" si="29"/>
        <v>1</v>
      </c>
      <c r="AF204" s="9" t="s">
        <v>66</v>
      </c>
      <c r="AG204" s="9" t="str">
        <f>INDEX('Brown tagset'!$B:$B,MATCH(IF(ISERROR(FIND("-",AF204)),IF(ISERROR(FIND("+",AF204)),AF204,LEFT(AF204,FIND("+",AF204)-1)),LEFT(AF204,FIND("-",AF204)-1)),'Brown tagset'!$A:$A,0))</f>
        <v>proper noun or part of name phrase</v>
      </c>
      <c r="AH204" s="9" t="s">
        <v>13</v>
      </c>
      <c r="AI204" s="9" t="str">
        <f>INDEX('Brown-Universal mapping'!$B:$B,MATCH(AF204,'Brown-Universal mapping'!$A:$A,0))</f>
        <v>NOUN</v>
      </c>
      <c r="AJ204" s="9">
        <f t="shared" si="26"/>
        <v>1</v>
      </c>
      <c r="AK204" s="9">
        <f t="shared" si="27"/>
        <v>1</v>
      </c>
      <c r="AM204" s="6">
        <f t="shared" si="30"/>
        <v>3</v>
      </c>
      <c r="AN204" s="6">
        <f t="shared" si="31"/>
        <v>3</v>
      </c>
      <c r="AP204" s="6" t="str">
        <f t="shared" si="32"/>
        <v>proper noun or part of name phrase3</v>
      </c>
    </row>
    <row r="205" spans="1:42" x14ac:dyDescent="0.25">
      <c r="A205" s="4" t="s">
        <v>16</v>
      </c>
      <c r="D205" s="3" t="s">
        <v>59</v>
      </c>
      <c r="E205" s="3" t="str">
        <f>INDEX('Brown tagset'!$B:$B,MATCH(IF(ISERROR(FIND("-",D205)),IF(ISERROR(FIND("+",D205)),D205,LEFT(D205,FIND("+",D205)-1)),LEFT(D205,FIND("-",D205)-1)),'Brown tagset'!$A:$A,0))</f>
        <v>preposition</v>
      </c>
      <c r="F205" s="3"/>
      <c r="G205" s="3" t="str">
        <f>INDEX('Brown-Universal mapping'!$B:$B,MATCH(D205,'Brown-Universal mapping'!$A:$A,0))</f>
        <v>ADP</v>
      </c>
      <c r="I205" s="5" t="s">
        <v>17</v>
      </c>
      <c r="J205" s="5" t="str">
        <f>INDEX('Brown tagset'!$B:$B,MATCH(IF(ISERROR(FIND("-",I205)),IF(ISERROR(FIND("+",I205)),I205,LEFT(I205,FIND("+",I205)-1)),LEFT(I205,FIND("-",I205)-1)),'Brown tagset'!$A:$A,0))</f>
        <v>infinitive marker to</v>
      </c>
      <c r="K205" s="5" t="s">
        <v>18</v>
      </c>
      <c r="L205" s="5" t="str">
        <f>INDEX('Brown-Universal mapping'!$B:$B,MATCH(I205,'Brown-Universal mapping'!$A:$A,0))</f>
        <v>PRT</v>
      </c>
      <c r="M205" s="5">
        <f t="shared" si="22"/>
        <v>0</v>
      </c>
      <c r="N205" s="5">
        <f t="shared" si="23"/>
        <v>0</v>
      </c>
      <c r="P205" s="12" t="s">
        <v>16</v>
      </c>
      <c r="Q205" s="7" t="s">
        <v>124</v>
      </c>
      <c r="R205" s="7" t="str">
        <f>INDEX('Brown tagset'!$B:$B,MATCH(IF(ISERROR(FIND("-",Q205)),IF(ISERROR(FIND("+",Q205)),Q205,LEFT(Q205,FIND("+",Q205)-1)),LEFT(Q205,FIND("-",Q205)-1)),'Brown tagset'!$A:$A,0))</f>
        <v>preposition</v>
      </c>
      <c r="S205" s="7"/>
      <c r="T205" s="7" t="str">
        <f>INDEX('Brown-Universal mapping'!$B:$B,MATCH(Q205,'Brown-Universal mapping'!$A:$A,0))</f>
        <v>ADP</v>
      </c>
      <c r="U205" s="7">
        <f t="shared" si="24"/>
        <v>1</v>
      </c>
      <c r="V205" s="7">
        <f t="shared" si="25"/>
        <v>1</v>
      </c>
      <c r="X205" s="12" t="s">
        <v>16</v>
      </c>
      <c r="Y205" s="7" t="s">
        <v>16</v>
      </c>
      <c r="Z205" s="7" t="str">
        <f>INDEX('Brown tagset'!$B:$B,MATCH(IF(ISERROR(FIND("-",Y205)),IF(ISERROR(FIND("+",Y205)),Y205,LEFT(Y205,FIND("+",Y205)-1)),LEFT(Y205,FIND("-",Y205)-1)),'Brown tagset'!$A:$A,0))</f>
        <v>infinitive marker to</v>
      </c>
      <c r="AA205" s="7"/>
      <c r="AB205" s="7" t="str">
        <f>INDEX('Brown-Universal mapping'!$B:$B,MATCH(Y205,'Brown-Universal mapping'!$A:$A,0))</f>
        <v>PRT</v>
      </c>
      <c r="AC205" s="7">
        <f t="shared" si="28"/>
        <v>0</v>
      </c>
      <c r="AD205" s="7">
        <f t="shared" si="29"/>
        <v>0</v>
      </c>
      <c r="AF205" s="9" t="s">
        <v>59</v>
      </c>
      <c r="AG205" s="9" t="str">
        <f>INDEX('Brown tagset'!$B:$B,MATCH(IF(ISERROR(FIND("-",AF205)),IF(ISERROR(FIND("+",AF205)),AF205,LEFT(AF205,FIND("+",AF205)-1)),LEFT(AF205,FIND("-",AF205)-1)),'Brown tagset'!$A:$A,0))</f>
        <v>preposition</v>
      </c>
      <c r="AH205" s="9" t="s">
        <v>60</v>
      </c>
      <c r="AI205" s="9" t="str">
        <f>INDEX('Brown-Universal mapping'!$B:$B,MATCH(AF205,'Brown-Universal mapping'!$A:$A,0))</f>
        <v>ADP</v>
      </c>
      <c r="AJ205" s="9">
        <f t="shared" si="26"/>
        <v>1</v>
      </c>
      <c r="AK205" s="9">
        <f t="shared" si="27"/>
        <v>1</v>
      </c>
      <c r="AM205" s="6">
        <f t="shared" si="30"/>
        <v>1</v>
      </c>
      <c r="AN205" s="6">
        <f t="shared" si="31"/>
        <v>1</v>
      </c>
      <c r="AP205" s="6" t="str">
        <f t="shared" si="32"/>
        <v>preposition1</v>
      </c>
    </row>
    <row r="206" spans="1:42" x14ac:dyDescent="0.25">
      <c r="A206" s="4" t="s">
        <v>188</v>
      </c>
      <c r="B206" s="4">
        <v>1</v>
      </c>
      <c r="C206" s="4">
        <v>1</v>
      </c>
      <c r="D206" s="3" t="s">
        <v>189</v>
      </c>
      <c r="E206" s="3" t="str">
        <f>INDEX('Brown tagset'!$B:$B,MATCH(IF(ISERROR(FIND("-",D206)),IF(ISERROR(FIND("+",D206)),D206,LEFT(D206,FIND("+",D206)-1)),LEFT(D206,FIND("-",D206)-1)),'Brown tagset'!$A:$A,0))</f>
        <v>comparative adverb</v>
      </c>
      <c r="F206" s="3"/>
      <c r="G206" s="3" t="str">
        <f>INDEX('Brown-Universal mapping'!$B:$B,MATCH(D206,'Brown-Universal mapping'!$A:$A,0))</f>
        <v>ADV</v>
      </c>
      <c r="I206" s="5" t="s">
        <v>35</v>
      </c>
      <c r="J206" s="5" t="str">
        <f>INDEX('Brown tagset'!$B:$B,MATCH(IF(ISERROR(FIND("-",I206)),IF(ISERROR(FIND("+",I206)),I206,LEFT(I206,FIND("+",I206)-1)),LEFT(I206,FIND("-",I206)-1)),'Brown tagset'!$A:$A,0))</f>
        <v>verb, base form</v>
      </c>
      <c r="K206" s="5" t="s">
        <v>10</v>
      </c>
      <c r="L206" s="5" t="str">
        <f>INDEX('Brown-Universal mapping'!$B:$B,MATCH(I206,'Brown-Universal mapping'!$A:$A,0))</f>
        <v>VERB</v>
      </c>
      <c r="M206" s="5">
        <f t="shared" ref="M206:M268" si="33">IF(I206=$D206,1,0)</f>
        <v>0</v>
      </c>
      <c r="N206" s="5">
        <f t="shared" ref="N206:N268" si="34">IF(L206=$G206,1,0)</f>
        <v>0</v>
      </c>
      <c r="P206" s="12" t="s">
        <v>188</v>
      </c>
      <c r="Q206" s="7" t="s">
        <v>323</v>
      </c>
      <c r="R206" s="7" t="str">
        <f>INDEX('Brown tagset'!$B:$B,MATCH(IF(ISERROR(FIND("-",Q206)),IF(ISERROR(FIND("+",Q206)),Q206,LEFT(Q206,FIND("+",Q206)-1)),LEFT(Q206,FIND("-",Q206)-1)),'Brown tagset'!$A:$A,0))</f>
        <v>comparative adjective</v>
      </c>
      <c r="S206" s="7"/>
      <c r="T206" s="7" t="str">
        <f>INDEX('Brown-Universal mapping'!$B:$B,MATCH(Q206,'Brown-Universal mapping'!$A:$A,0))</f>
        <v>ADJ</v>
      </c>
      <c r="U206" s="7">
        <f t="shared" ref="U206:U268" si="35">IF(Q206=$D206,1,0)</f>
        <v>0</v>
      </c>
      <c r="V206" s="7">
        <f t="shared" ref="V206:V268" si="36">IF(T206=$G206,1,0)</f>
        <v>0</v>
      </c>
      <c r="X206" s="12" t="s">
        <v>188</v>
      </c>
      <c r="Y206" s="7" t="s">
        <v>296</v>
      </c>
      <c r="Z206" s="7" t="str">
        <f>INDEX('Brown tagset'!$B:$B,MATCH(IF(ISERROR(FIND("-",Y206)),IF(ISERROR(FIND("+",Y206)),Y206,LEFT(Y206,FIND("+",Y206)-1)),LEFT(Y206,FIND("-",Y206)-1)),'Brown tagset'!$A:$A,0))</f>
        <v>verb, base form</v>
      </c>
      <c r="AA206" s="7"/>
      <c r="AB206" s="7" t="str">
        <f>INDEX('Brown-Universal mapping'!$B:$B,MATCH(Y206,'Brown-Universal mapping'!$A:$A,0))</f>
        <v>VERB</v>
      </c>
      <c r="AC206" s="7">
        <f t="shared" si="28"/>
        <v>0</v>
      </c>
      <c r="AD206" s="7">
        <f t="shared" si="29"/>
        <v>0</v>
      </c>
      <c r="AF206" s="9" t="s">
        <v>163</v>
      </c>
      <c r="AG206" s="9" t="str">
        <f>INDEX('Brown tagset'!$B:$B,MATCH(IF(ISERROR(FIND("-",AF206)),IF(ISERROR(FIND("+",AF206)),AF206,LEFT(AF206,FIND("+",AF206)-1)),LEFT(AF206,FIND("-",AF206)-1)),'Brown tagset'!$A:$A,0))</f>
        <v>comparative adjective</v>
      </c>
      <c r="AH206" s="9" t="s">
        <v>46</v>
      </c>
      <c r="AI206" s="9" t="str">
        <f>INDEX('Brown-Universal mapping'!$B:$B,MATCH(AF206,'Brown-Universal mapping'!$A:$A,0))</f>
        <v>ADJ</v>
      </c>
      <c r="AJ206" s="9">
        <f t="shared" ref="AJ206:AJ268" si="37">IF(AF206=$D206,1,0)</f>
        <v>0</v>
      </c>
      <c r="AK206" s="9">
        <f t="shared" ref="AK206:AK268" si="38">IF(AI206=$G206,1,0)</f>
        <v>0</v>
      </c>
      <c r="AM206" s="6">
        <f t="shared" si="30"/>
        <v>0</v>
      </c>
      <c r="AN206" s="6">
        <f t="shared" si="31"/>
        <v>0</v>
      </c>
      <c r="AP206" s="6" t="str">
        <f t="shared" si="32"/>
        <v>comparative adjective0</v>
      </c>
    </row>
    <row r="207" spans="1:42" x14ac:dyDescent="0.25">
      <c r="A207" s="29" t="s">
        <v>190</v>
      </c>
      <c r="B207" s="29"/>
      <c r="D207" s="3" t="s">
        <v>31</v>
      </c>
      <c r="E207" s="3" t="str">
        <f>INDEX('Brown tagset'!$B:$B,MATCH(IF(ISERROR(FIND("-",D207)),IF(ISERROR(FIND("+",D207)),D207,LEFT(D207,FIND("+",D207)-1)),LEFT(D207,FIND("-",D207)-1)),'Brown tagset'!$A:$A,0))</f>
        <v>plural noun</v>
      </c>
      <c r="F207" s="3"/>
      <c r="G207" s="3" t="str">
        <f>INDEX('Brown-Universal mapping'!$B:$B,MATCH(D207,'Brown-Universal mapping'!$A:$A,0))</f>
        <v>NOUN</v>
      </c>
      <c r="I207" s="5" t="s">
        <v>31</v>
      </c>
      <c r="J207" s="5" t="str">
        <f>INDEX('Brown tagset'!$B:$B,MATCH(IF(ISERROR(FIND("-",I207)),IF(ISERROR(FIND("+",I207)),I207,LEFT(I207,FIND("+",I207)-1)),LEFT(I207,FIND("-",I207)-1)),'Brown tagset'!$A:$A,0))</f>
        <v>plural noun</v>
      </c>
      <c r="K207" s="5" t="s">
        <v>13</v>
      </c>
      <c r="L207" s="5" t="str">
        <f>INDEX('Brown-Universal mapping'!$B:$B,MATCH(I207,'Brown-Universal mapping'!$A:$A,0))</f>
        <v>NOUN</v>
      </c>
      <c r="M207" s="5">
        <f t="shared" si="33"/>
        <v>1</v>
      </c>
      <c r="N207" s="5">
        <f t="shared" si="34"/>
        <v>1</v>
      </c>
      <c r="P207" s="12" t="s">
        <v>190</v>
      </c>
      <c r="Q207" s="7" t="s">
        <v>295</v>
      </c>
      <c r="R207" s="7" t="str">
        <f>INDEX('Brown tagset'!$B:$B,MATCH(IF(ISERROR(FIND("-",Q207)),IF(ISERROR(FIND("+",Q207)),Q207,LEFT(Q207,FIND("+",Q207)-1)),LEFT(Q207,FIND("-",Q207)-1)),'Brown tagset'!$A:$A,0))</f>
        <v>plural noun</v>
      </c>
      <c r="S207" s="7"/>
      <c r="T207" s="7" t="str">
        <f>INDEX('Brown-Universal mapping'!$B:$B,MATCH(Q207,'Brown-Universal mapping'!$A:$A,0))</f>
        <v>NOUN</v>
      </c>
      <c r="U207" s="7">
        <f t="shared" si="35"/>
        <v>1</v>
      </c>
      <c r="V207" s="7">
        <f t="shared" si="36"/>
        <v>1</v>
      </c>
      <c r="X207" s="12" t="s">
        <v>190</v>
      </c>
      <c r="Y207" s="7" t="s">
        <v>295</v>
      </c>
      <c r="Z207" s="7" t="str">
        <f>INDEX('Brown tagset'!$B:$B,MATCH(IF(ISERROR(FIND("-",Y207)),IF(ISERROR(FIND("+",Y207)),Y207,LEFT(Y207,FIND("+",Y207)-1)),LEFT(Y207,FIND("-",Y207)-1)),'Brown tagset'!$A:$A,0))</f>
        <v>plural noun</v>
      </c>
      <c r="AA207" s="7"/>
      <c r="AB207" s="7" t="str">
        <f>INDEX('Brown-Universal mapping'!$B:$B,MATCH(Y207,'Brown-Universal mapping'!$A:$A,0))</f>
        <v>NOUN</v>
      </c>
      <c r="AC207" s="7">
        <f t="shared" si="28"/>
        <v>1</v>
      </c>
      <c r="AD207" s="7">
        <f t="shared" si="29"/>
        <v>1</v>
      </c>
      <c r="AF207" s="9" t="s">
        <v>31</v>
      </c>
      <c r="AG207" s="9" t="str">
        <f>INDEX('Brown tagset'!$B:$B,MATCH(IF(ISERROR(FIND("-",AF207)),IF(ISERROR(FIND("+",AF207)),AF207,LEFT(AF207,FIND("+",AF207)-1)),LEFT(AF207,FIND("-",AF207)-1)),'Brown tagset'!$A:$A,0))</f>
        <v>plural noun</v>
      </c>
      <c r="AH207" s="9" t="s">
        <v>13</v>
      </c>
      <c r="AI207" s="9" t="str">
        <f>INDEX('Brown-Universal mapping'!$B:$B,MATCH(AF207,'Brown-Universal mapping'!$A:$A,0))</f>
        <v>NOUN</v>
      </c>
      <c r="AJ207" s="9">
        <f t="shared" si="37"/>
        <v>1</v>
      </c>
      <c r="AK207" s="9">
        <f t="shared" si="38"/>
        <v>1</v>
      </c>
      <c r="AM207" s="6">
        <f t="shared" si="30"/>
        <v>3</v>
      </c>
      <c r="AN207" s="6">
        <f t="shared" si="31"/>
        <v>3</v>
      </c>
      <c r="AP207" s="6" t="str">
        <f t="shared" si="32"/>
        <v>plural noun3</v>
      </c>
    </row>
    <row r="208" spans="1:42" x14ac:dyDescent="0.25">
      <c r="A208" s="29" t="s">
        <v>28</v>
      </c>
      <c r="B208" s="29"/>
      <c r="D208" s="3" t="s">
        <v>29</v>
      </c>
      <c r="E208" s="3" t="str">
        <f>INDEX('Brown tagset'!$B:$B,MATCH(IF(ISERROR(FIND("-",D208)),IF(ISERROR(FIND("+",D208)),D208,LEFT(D208,FIND("+",D208)-1)),LEFT(D208,FIND("-",D208)-1)),'Brown tagset'!$A:$A,0))</f>
        <v>subordinating conjunction (if, although)</v>
      </c>
      <c r="F208" s="3"/>
      <c r="G208" s="3" t="str">
        <f>INDEX('Brown-Universal mapping'!$B:$B,MATCH(D208,'Brown-Universal mapping'!$A:$A,0))</f>
        <v>ADP</v>
      </c>
      <c r="I208" s="5" t="s">
        <v>29</v>
      </c>
      <c r="J208" s="5" t="str">
        <f>INDEX('Brown tagset'!$B:$B,MATCH(IF(ISERROR(FIND("-",I208)),IF(ISERROR(FIND("+",I208)),I208,LEFT(I208,FIND("+",I208)-1)),LEFT(I208,FIND("-",I208)-1)),'Brown tagset'!$A:$A,0))</f>
        <v>subordinating conjunction (if, although)</v>
      </c>
      <c r="K208" s="5" t="s">
        <v>2</v>
      </c>
      <c r="L208" s="5" t="str">
        <f>INDEX('Brown-Universal mapping'!$B:$B,MATCH(I208,'Brown-Universal mapping'!$A:$A,0))</f>
        <v>ADP</v>
      </c>
      <c r="M208" s="5">
        <f t="shared" si="33"/>
        <v>1</v>
      </c>
      <c r="N208" s="5">
        <f t="shared" si="34"/>
        <v>1</v>
      </c>
      <c r="P208" s="12" t="s">
        <v>28</v>
      </c>
      <c r="Q208" s="7" t="s">
        <v>288</v>
      </c>
      <c r="R208" s="7" t="str">
        <f>INDEX('Brown tagset'!$B:$B,MATCH(IF(ISERROR(FIND("-",Q208)),IF(ISERROR(FIND("+",Q208)),Q208,LEFT(Q208,FIND("+",Q208)-1)),LEFT(Q208,FIND("-",Q208)-1)),'Brown tagset'!$A:$A,0))</f>
        <v>adverb</v>
      </c>
      <c r="S208" s="7"/>
      <c r="T208" s="7" t="str">
        <f>INDEX('Brown-Universal mapping'!$B:$B,MATCH(Q208,'Brown-Universal mapping'!$A:$A,0))</f>
        <v>ADV</v>
      </c>
      <c r="U208" s="7">
        <f t="shared" si="35"/>
        <v>0</v>
      </c>
      <c r="V208" s="7">
        <f t="shared" si="36"/>
        <v>0</v>
      </c>
      <c r="X208" s="12" t="s">
        <v>28</v>
      </c>
      <c r="Y208" s="7" t="s">
        <v>294</v>
      </c>
      <c r="Z208" s="7" t="str">
        <f>INDEX('Brown tagset'!$B:$B,MATCH(IF(ISERROR(FIND("-",Y208)),IF(ISERROR(FIND("+",Y208)),Y208,LEFT(Y208,FIND("+",Y208)-1)),LEFT(Y208,FIND("-",Y208)-1)),'Brown tagset'!$A:$A,0))</f>
        <v>subordinating conjunction (if, although)</v>
      </c>
      <c r="AA208" s="7"/>
      <c r="AB208" s="7" t="str">
        <f>INDEX('Brown-Universal mapping'!$B:$B,MATCH(Y208,'Brown-Universal mapping'!$A:$A,0))</f>
        <v>ADP</v>
      </c>
      <c r="AC208" s="7">
        <f t="shared" si="28"/>
        <v>1</v>
      </c>
      <c r="AD208" s="7">
        <f t="shared" si="29"/>
        <v>1</v>
      </c>
      <c r="AF208" s="9" t="s">
        <v>29</v>
      </c>
      <c r="AG208" s="9" t="str">
        <f>INDEX('Brown tagset'!$B:$B,MATCH(IF(ISERROR(FIND("-",AF208)),IF(ISERROR(FIND("+",AF208)),AF208,LEFT(AF208,FIND("+",AF208)-1)),LEFT(AF208,FIND("-",AF208)-1)),'Brown tagset'!$A:$A,0))</f>
        <v>subordinating conjunction (if, although)</v>
      </c>
      <c r="AH208" s="9" t="s">
        <v>2</v>
      </c>
      <c r="AI208" s="9" t="str">
        <f>INDEX('Brown-Universal mapping'!$B:$B,MATCH(AF208,'Brown-Universal mapping'!$A:$A,0))</f>
        <v>ADP</v>
      </c>
      <c r="AJ208" s="9">
        <f t="shared" si="37"/>
        <v>1</v>
      </c>
      <c r="AK208" s="9">
        <f t="shared" si="38"/>
        <v>1</v>
      </c>
      <c r="AM208" s="6">
        <f t="shared" si="30"/>
        <v>3</v>
      </c>
      <c r="AN208" s="6">
        <f t="shared" si="31"/>
        <v>3</v>
      </c>
      <c r="AP208" s="6" t="str">
        <f t="shared" si="32"/>
        <v>subordinating conjunction (if, although)3</v>
      </c>
    </row>
    <row r="209" spans="1:42" x14ac:dyDescent="0.25">
      <c r="A209" s="29" t="s">
        <v>37</v>
      </c>
      <c r="B209" s="29"/>
      <c r="D209" s="3" t="s">
        <v>37</v>
      </c>
      <c r="E209" s="3" t="str">
        <f>INDEX('Brown tagset'!$B:$B,MATCH(IF(ISERROR(FIND("-",D209)),IF(ISERROR(FIND("+",D209)),D209,LEFT(D209,FIND("+",D209)-1)),LEFT(D209,FIND("-",D209)-1)),'Brown tagset'!$A:$A,0))</f>
        <v>end quotation</v>
      </c>
      <c r="F209" s="3"/>
      <c r="G209" s="3" t="str">
        <f>INDEX('Brown-Universal mapping'!$B:$B,MATCH(D209,'Brown-Universal mapping'!$A:$A,0))</f>
        <v>.</v>
      </c>
      <c r="I209" s="5" t="s">
        <v>37</v>
      </c>
      <c r="J209" s="5" t="str">
        <f>INDEX('Brown tagset'!$B:$B,MATCH(IF(ISERROR(FIND("-",I209)),IF(ISERROR(FIND("+",I209)),I209,LEFT(I209,FIND("+",I209)-1)),LEFT(I209,FIND("-",I209)-1)),'Brown tagset'!$A:$A,0))</f>
        <v>end quotation</v>
      </c>
      <c r="K209" s="5" t="s">
        <v>38</v>
      </c>
      <c r="L209" s="5" t="str">
        <f>INDEX('Brown-Universal mapping'!$B:$B,MATCH(I209,'Brown-Universal mapping'!$A:$A,0))</f>
        <v>.</v>
      </c>
      <c r="M209" s="5">
        <f t="shared" si="33"/>
        <v>1</v>
      </c>
      <c r="N209" s="5">
        <f t="shared" si="34"/>
        <v>1</v>
      </c>
      <c r="P209" s="12" t="s">
        <v>37</v>
      </c>
      <c r="Q209" s="7" t="s">
        <v>37</v>
      </c>
      <c r="R209" s="7" t="str">
        <f>INDEX('Brown tagset'!$B:$B,MATCH(IF(ISERROR(FIND("-",Q209)),IF(ISERROR(FIND("+",Q209)),Q209,LEFT(Q209,FIND("+",Q209)-1)),LEFT(Q209,FIND("-",Q209)-1)),'Brown tagset'!$A:$A,0))</f>
        <v>end quotation</v>
      </c>
      <c r="S209" s="7"/>
      <c r="T209" s="7" t="str">
        <f>INDEX('Brown-Universal mapping'!$B:$B,MATCH(Q209,'Brown-Universal mapping'!$A:$A,0))</f>
        <v>.</v>
      </c>
      <c r="U209" s="7">
        <f t="shared" si="35"/>
        <v>1</v>
      </c>
      <c r="V209" s="7">
        <f t="shared" si="36"/>
        <v>1</v>
      </c>
      <c r="X209" s="12" t="s">
        <v>37</v>
      </c>
      <c r="Y209" s="7" t="s">
        <v>37</v>
      </c>
      <c r="Z209" s="7" t="str">
        <f>INDEX('Brown tagset'!$B:$B,MATCH(IF(ISERROR(FIND("-",Y209)),IF(ISERROR(FIND("+",Y209)),Y209,LEFT(Y209,FIND("+",Y209)-1)),LEFT(Y209,FIND("-",Y209)-1)),'Brown tagset'!$A:$A,0))</f>
        <v>end quotation</v>
      </c>
      <c r="AA209" s="7"/>
      <c r="AB209" s="7" t="str">
        <f>INDEX('Brown-Universal mapping'!$B:$B,MATCH(Y209,'Brown-Universal mapping'!$A:$A,0))</f>
        <v>.</v>
      </c>
      <c r="AC209" s="7">
        <f t="shared" si="28"/>
        <v>1</v>
      </c>
      <c r="AD209" s="7">
        <f t="shared" si="29"/>
        <v>1</v>
      </c>
      <c r="AF209" s="9" t="s">
        <v>37</v>
      </c>
      <c r="AG209" s="9" t="str">
        <f>INDEX('Brown tagset'!$B:$B,MATCH(IF(ISERROR(FIND("-",AF209)),IF(ISERROR(FIND("+",AF209)),AF209,LEFT(AF209,FIND("+",AF209)-1)),LEFT(AF209,FIND("-",AF209)-1)),'Brown tagset'!$A:$A,0))</f>
        <v>end quotation</v>
      </c>
      <c r="AH209" s="9" t="s">
        <v>38</v>
      </c>
      <c r="AI209" s="9" t="str">
        <f>INDEX('Brown-Universal mapping'!$B:$B,MATCH(AF209,'Brown-Universal mapping'!$A:$A,0))</f>
        <v>.</v>
      </c>
      <c r="AJ209" s="9">
        <f t="shared" si="37"/>
        <v>1</v>
      </c>
      <c r="AK209" s="9">
        <f t="shared" si="38"/>
        <v>1</v>
      </c>
      <c r="AM209" s="6">
        <f t="shared" si="30"/>
        <v>3</v>
      </c>
      <c r="AN209" s="6">
        <f t="shared" si="31"/>
        <v>3</v>
      </c>
      <c r="AP209" s="6" t="str">
        <f t="shared" si="32"/>
        <v>end quotation3</v>
      </c>
    </row>
    <row r="210" spans="1:42" x14ac:dyDescent="0.25">
      <c r="A210" s="29" t="s">
        <v>191</v>
      </c>
      <c r="B210" s="29"/>
      <c r="D210" s="3" t="s">
        <v>192</v>
      </c>
      <c r="E210" s="3" t="str">
        <f>INDEX('Brown tagset'!$B:$B,MATCH(IF(ISERROR(FIND("-",D210)),IF(ISERROR(FIND("+",D210)),D210,LEFT(D210,FIND("+",D210)-1)),LEFT(D210,FIND("-",D210)-1)),'Brown tagset'!$A:$A,0))</f>
        <v>foreign word (hyphenated before regular tag)</v>
      </c>
      <c r="F210" s="3"/>
      <c r="G210" s="3" t="str">
        <f>INDEX('Brown-Universal mapping'!$B:$B,MATCH(D210,'Brown-Universal mapping'!$A:$A,0))</f>
        <v>X</v>
      </c>
      <c r="I210" s="5" t="s">
        <v>192</v>
      </c>
      <c r="J210" s="5" t="str">
        <f>INDEX('Brown tagset'!$B:$B,MATCH(IF(ISERROR(FIND("-",I210)),IF(ISERROR(FIND("+",I210)),I210,LEFT(I210,FIND("+",I210)-1)),LEFT(I210,FIND("-",I210)-1)),'Brown tagset'!$A:$A,0))</f>
        <v>foreign word (hyphenated before regular tag)</v>
      </c>
      <c r="K210" s="5" t="s">
        <v>2</v>
      </c>
      <c r="L210" s="5" t="str">
        <f>INDEX('Brown-Universal mapping'!$B:$B,MATCH(I210,'Brown-Universal mapping'!$A:$A,0))</f>
        <v>X</v>
      </c>
      <c r="M210" s="5">
        <f t="shared" si="33"/>
        <v>1</v>
      </c>
      <c r="N210" s="5">
        <f t="shared" si="34"/>
        <v>1</v>
      </c>
      <c r="P210" s="12" t="s">
        <v>191</v>
      </c>
      <c r="Q210" s="7" t="s">
        <v>291</v>
      </c>
      <c r="R210" s="7" t="str">
        <f>INDEX('Brown tagset'!$B:$B,MATCH(IF(ISERROR(FIND("-",Q210)),IF(ISERROR(FIND("+",Q210)),Q210,LEFT(Q210,FIND("+",Q210)-1)),LEFT(Q210,FIND("-",Q210)-1)),'Brown tagset'!$A:$A,0))</f>
        <v>possessive personal pronoun (my, our)</v>
      </c>
      <c r="S210" s="7"/>
      <c r="T210" s="7" t="str">
        <f>INDEX('Brown-Universal mapping'!$B:$B,MATCH(Q210,'Brown-Universal mapping'!$A:$A,0))</f>
        <v>DET</v>
      </c>
      <c r="U210" s="7">
        <f t="shared" si="35"/>
        <v>0</v>
      </c>
      <c r="V210" s="7">
        <f t="shared" si="36"/>
        <v>0</v>
      </c>
      <c r="X210" s="12" t="s">
        <v>191</v>
      </c>
      <c r="Y210" s="7" t="s">
        <v>858</v>
      </c>
      <c r="Z210" s="7" t="str">
        <f>INDEX('Brown tagset'!$B:$B,MATCH(IF(ISERROR(FIND("-",Y210)),IF(ISERROR(FIND("+",Y210)),Y210,LEFT(Y210,FIND("+",Y210)-1)),LEFT(Y210,FIND("-",Y210)-1)),'Brown tagset'!$A:$A,0))</f>
        <v>foreign word (hyphenated before regular tag)</v>
      </c>
      <c r="AA210" s="7"/>
      <c r="AB210" s="7" t="str">
        <f>INDEX('Brown-Universal mapping'!$B:$B,MATCH(Y210,'Brown-Universal mapping'!$A:$A,0))</f>
        <v>X</v>
      </c>
      <c r="AC210" s="7">
        <f t="shared" si="28"/>
        <v>1</v>
      </c>
      <c r="AD210" s="7">
        <f t="shared" si="29"/>
        <v>1</v>
      </c>
      <c r="AF210" s="9" t="s">
        <v>192</v>
      </c>
      <c r="AG210" s="9" t="str">
        <f>INDEX('Brown tagset'!$B:$B,MATCH(IF(ISERROR(FIND("-",AF210)),IF(ISERROR(FIND("+",AF210)),AF210,LEFT(AF210,FIND("+",AF210)-1)),LEFT(AF210,FIND("-",AF210)-1)),'Brown tagset'!$A:$A,0))</f>
        <v>foreign word (hyphenated before regular tag)</v>
      </c>
      <c r="AH210" s="9" t="s">
        <v>2</v>
      </c>
      <c r="AI210" s="9" t="str">
        <f>INDEX('Brown-Universal mapping'!$B:$B,MATCH(AF210,'Brown-Universal mapping'!$A:$A,0))</f>
        <v>X</v>
      </c>
      <c r="AJ210" s="9">
        <f t="shared" si="37"/>
        <v>1</v>
      </c>
      <c r="AK210" s="9">
        <f t="shared" si="38"/>
        <v>1</v>
      </c>
      <c r="AM210" s="6">
        <f t="shared" si="30"/>
        <v>3</v>
      </c>
      <c r="AN210" s="6">
        <f t="shared" si="31"/>
        <v>3</v>
      </c>
      <c r="AP210" s="6" t="str">
        <f t="shared" si="32"/>
        <v>foreign word (hyphenated before regular tag)3</v>
      </c>
    </row>
    <row r="211" spans="1:42" x14ac:dyDescent="0.25">
      <c r="A211" s="26" t="s">
        <v>193</v>
      </c>
      <c r="B211" s="26"/>
      <c r="D211" s="3" t="s">
        <v>194</v>
      </c>
      <c r="E211" s="3" t="str">
        <f>INDEX('Brown tagset'!$B:$B,MATCH(IF(ISERROR(FIND("-",D211)),IF(ISERROR(FIND("+",D211)),D211,LEFT(D211,FIND("+",D211)-1)),LEFT(D211,FIND("-",D211)-1)),'Brown tagset'!$A:$A,0))</f>
        <v>foreign word (hyphenated before regular tag)</v>
      </c>
      <c r="F211" s="3"/>
      <c r="G211" s="3" t="str">
        <f>INDEX('Brown-Universal mapping'!$B:$B,MATCH(D211,'Brown-Universal mapping'!$A:$A,0))</f>
        <v>X</v>
      </c>
      <c r="I211" s="5" t="s">
        <v>12</v>
      </c>
      <c r="J211" s="5" t="str">
        <f>INDEX('Brown tagset'!$B:$B,MATCH(IF(ISERROR(FIND("-",I211)),IF(ISERROR(FIND("+",I211)),I211,LEFT(I211,FIND("+",I211)-1)),LEFT(I211,FIND("-",I211)-1)),'Brown tagset'!$A:$A,0))</f>
        <v>singular or mass noun</v>
      </c>
      <c r="K211" s="5" t="s">
        <v>13</v>
      </c>
      <c r="L211" s="5" t="str">
        <f>INDEX('Brown-Universal mapping'!$B:$B,MATCH(I211,'Brown-Universal mapping'!$A:$A,0))</f>
        <v>NOUN</v>
      </c>
      <c r="M211" s="5">
        <f t="shared" si="33"/>
        <v>0</v>
      </c>
      <c r="N211" s="5">
        <f t="shared" si="34"/>
        <v>0</v>
      </c>
      <c r="P211" s="12" t="s">
        <v>193</v>
      </c>
      <c r="Q211" s="7" t="s">
        <v>299</v>
      </c>
      <c r="R211" s="7" t="str">
        <f>INDEX('Brown tagset'!$B:$B,MATCH(IF(ISERROR(FIND("-",Q211)),IF(ISERROR(FIND("+",Q211)),Q211,LEFT(Q211,FIND("+",Q211)-1)),LEFT(Q211,FIND("-",Q211)-1)),'Brown tagset'!$A:$A,0))</f>
        <v>adjective</v>
      </c>
      <c r="S211" s="7"/>
      <c r="T211" s="7" t="str">
        <f>INDEX('Brown-Universal mapping'!$B:$B,MATCH(Q211,'Brown-Universal mapping'!$A:$A,0))</f>
        <v>ADJ</v>
      </c>
      <c r="U211" s="7">
        <f t="shared" si="35"/>
        <v>0</v>
      </c>
      <c r="V211" s="7">
        <f t="shared" si="36"/>
        <v>0</v>
      </c>
      <c r="X211" s="12" t="s">
        <v>193</v>
      </c>
      <c r="Y211" s="7" t="s">
        <v>859</v>
      </c>
      <c r="Z211" s="7" t="str">
        <f>INDEX('Brown tagset'!$B:$B,MATCH(IF(ISERROR(FIND("-",Y211)),IF(ISERROR(FIND("+",Y211)),Y211,LEFT(Y211,FIND("+",Y211)-1)),LEFT(Y211,FIND("-",Y211)-1)),'Brown tagset'!$A:$A,0))</f>
        <v>foreign word (hyphenated before regular tag)</v>
      </c>
      <c r="AA211" s="7"/>
      <c r="AB211" s="7" t="str">
        <f>INDEX('Brown-Universal mapping'!$B:$B,MATCH(Y211,'Brown-Universal mapping'!$A:$A,0))</f>
        <v>X</v>
      </c>
      <c r="AC211" s="7">
        <f t="shared" si="28"/>
        <v>1</v>
      </c>
      <c r="AD211" s="7">
        <f t="shared" si="29"/>
        <v>1</v>
      </c>
      <c r="AF211" s="9" t="s">
        <v>340</v>
      </c>
      <c r="AG211" s="9" t="str">
        <f>INDEX('Brown tagset'!$B:$B,MATCH(IF(ISERROR(FIND("-",AF211)),IF(ISERROR(FIND("+",AF211)),AF211,LEFT(AF211,FIND("+",AF211)-1)),LEFT(AF211,FIND("-",AF211)-1)),'Brown tagset'!$A:$A,0))</f>
        <v>unknown</v>
      </c>
      <c r="AH211" s="9" t="s">
        <v>2</v>
      </c>
      <c r="AI211" s="9" t="str">
        <f>INDEX('Brown-Universal mapping'!$B:$B,MATCH(AF211,'Brown-Universal mapping'!$A:$A,0))</f>
        <v>Unknown</v>
      </c>
      <c r="AJ211" s="9">
        <f t="shared" si="37"/>
        <v>0</v>
      </c>
      <c r="AK211" s="9">
        <f t="shared" si="38"/>
        <v>0</v>
      </c>
      <c r="AM211" s="6">
        <f t="shared" si="30"/>
        <v>1</v>
      </c>
      <c r="AN211" s="6">
        <f t="shared" si="31"/>
        <v>1</v>
      </c>
      <c r="AP211" s="6" t="str">
        <f t="shared" si="32"/>
        <v>unknown1</v>
      </c>
    </row>
    <row r="212" spans="1:42" x14ac:dyDescent="0.25">
      <c r="A212" s="29" t="s">
        <v>49</v>
      </c>
      <c r="B212" s="29"/>
      <c r="D212" s="3" t="s">
        <v>49</v>
      </c>
      <c r="E212" s="3" t="str">
        <f>INDEX('Brown tagset'!$B:$B,MATCH(IF(ISERROR(FIND("-",D212)),IF(ISERROR(FIND("+",D212)),D212,LEFT(D212,FIND("+",D212)-1)),LEFT(D212,FIND("-",D212)-1)),'Brown tagset'!$A:$A,0))</f>
        <v>begin quotation</v>
      </c>
      <c r="F212" s="3"/>
      <c r="G212" s="3" t="str">
        <f>INDEX('Brown-Universal mapping'!$B:$B,MATCH(D212,'Brown-Universal mapping'!$A:$A,0))</f>
        <v>.</v>
      </c>
      <c r="I212" s="5" t="s">
        <v>49</v>
      </c>
      <c r="J212" s="5" t="str">
        <f>INDEX('Brown tagset'!$B:$B,MATCH(IF(ISERROR(FIND("-",I212)),IF(ISERROR(FIND("+",I212)),I212,LEFT(I212,FIND("+",I212)-1)),LEFT(I212,FIND("-",I212)-1)),'Brown tagset'!$A:$A,0))</f>
        <v>begin quotation</v>
      </c>
      <c r="K212" s="5" t="s">
        <v>38</v>
      </c>
      <c r="L212" s="5" t="str">
        <f>INDEX('Brown-Universal mapping'!$B:$B,MATCH(I212,'Brown-Universal mapping'!$A:$A,0))</f>
        <v>.</v>
      </c>
      <c r="M212" s="5">
        <f t="shared" si="33"/>
        <v>1</v>
      </c>
      <c r="N212" s="5">
        <f t="shared" si="34"/>
        <v>1</v>
      </c>
      <c r="P212" s="12" t="s">
        <v>49</v>
      </c>
      <c r="Q212" s="7" t="s">
        <v>49</v>
      </c>
      <c r="R212" s="7" t="str">
        <f>INDEX('Brown tagset'!$B:$B,MATCH(IF(ISERROR(FIND("-",Q212)),IF(ISERROR(FIND("+",Q212)),Q212,LEFT(Q212,FIND("+",Q212)-1)),LEFT(Q212,FIND("-",Q212)-1)),'Brown tagset'!$A:$A,0))</f>
        <v>begin quotation</v>
      </c>
      <c r="S212" s="7"/>
      <c r="T212" s="7" t="str">
        <f>INDEX('Brown-Universal mapping'!$B:$B,MATCH(Q212,'Brown-Universal mapping'!$A:$A,0))</f>
        <v>.</v>
      </c>
      <c r="U212" s="7">
        <f t="shared" si="35"/>
        <v>1</v>
      </c>
      <c r="V212" s="7">
        <f t="shared" si="36"/>
        <v>1</v>
      </c>
      <c r="X212" s="12" t="s">
        <v>49</v>
      </c>
      <c r="Y212" s="7" t="s">
        <v>49</v>
      </c>
      <c r="Z212" s="7" t="str">
        <f>INDEX('Brown tagset'!$B:$B,MATCH(IF(ISERROR(FIND("-",Y212)),IF(ISERROR(FIND("+",Y212)),Y212,LEFT(Y212,FIND("+",Y212)-1)),LEFT(Y212,FIND("-",Y212)-1)),'Brown tagset'!$A:$A,0))</f>
        <v>begin quotation</v>
      </c>
      <c r="AA212" s="7"/>
      <c r="AB212" s="7" t="str">
        <f>INDEX('Brown-Universal mapping'!$B:$B,MATCH(Y212,'Brown-Universal mapping'!$A:$A,0))</f>
        <v>.</v>
      </c>
      <c r="AC212" s="7">
        <f t="shared" si="28"/>
        <v>1</v>
      </c>
      <c r="AD212" s="7">
        <f t="shared" si="29"/>
        <v>1</v>
      </c>
      <c r="AF212" s="9" t="s">
        <v>49</v>
      </c>
      <c r="AG212" s="9" t="str">
        <f>INDEX('Brown tagset'!$B:$B,MATCH(IF(ISERROR(FIND("-",AF212)),IF(ISERROR(FIND("+",AF212)),AF212,LEFT(AF212,FIND("+",AF212)-1)),LEFT(AF212,FIND("-",AF212)-1)),'Brown tagset'!$A:$A,0))</f>
        <v>begin quotation</v>
      </c>
      <c r="AH212" s="9" t="s">
        <v>38</v>
      </c>
      <c r="AI212" s="9" t="str">
        <f>INDEX('Brown-Universal mapping'!$B:$B,MATCH(AF212,'Brown-Universal mapping'!$A:$A,0))</f>
        <v>.</v>
      </c>
      <c r="AJ212" s="9">
        <f t="shared" si="37"/>
        <v>1</v>
      </c>
      <c r="AK212" s="9">
        <f t="shared" si="38"/>
        <v>1</v>
      </c>
      <c r="AM212" s="6">
        <f t="shared" si="30"/>
        <v>3</v>
      </c>
      <c r="AN212" s="6">
        <f t="shared" si="31"/>
        <v>3</v>
      </c>
      <c r="AP212" s="6" t="str">
        <f t="shared" si="32"/>
        <v>begin quotation3</v>
      </c>
    </row>
    <row r="213" spans="1:42" x14ac:dyDescent="0.25">
      <c r="A213" s="29" t="s">
        <v>195</v>
      </c>
      <c r="B213" s="29"/>
      <c r="D213" s="3" t="s">
        <v>196</v>
      </c>
      <c r="E213" s="3" t="str">
        <f>INDEX('Brown tagset'!$B:$B,MATCH(IF(ISERROR(FIND("-",D213)),IF(ISERROR(FIND("+",D213)),D213,LEFT(D213,FIND("+",D213)-1)),LEFT(D213,FIND("-",D213)-1)),'Brown tagset'!$A:$A,0))</f>
        <v>verb, 3rd. singular present</v>
      </c>
      <c r="F213" s="3"/>
      <c r="G213" s="3" t="str">
        <f>INDEX('Brown-Universal mapping'!$B:$B,MATCH(D213,'Brown-Universal mapping'!$A:$A,0))</f>
        <v>VERB</v>
      </c>
      <c r="I213" s="5" t="s">
        <v>196</v>
      </c>
      <c r="J213" s="5" t="str">
        <f>INDEX('Brown tagset'!$B:$B,MATCH(IF(ISERROR(FIND("-",I213)),IF(ISERROR(FIND("+",I213)),I213,LEFT(I213,FIND("+",I213)-1)),LEFT(I213,FIND("-",I213)-1)),'Brown tagset'!$A:$A,0))</f>
        <v>verb, 3rd. singular present</v>
      </c>
      <c r="K213" s="5" t="s">
        <v>10</v>
      </c>
      <c r="L213" s="5" t="str">
        <f>INDEX('Brown-Universal mapping'!$B:$B,MATCH(I213,'Brown-Universal mapping'!$A:$A,0))</f>
        <v>VERB</v>
      </c>
      <c r="M213" s="5">
        <f t="shared" si="33"/>
        <v>1</v>
      </c>
      <c r="N213" s="5">
        <f t="shared" si="34"/>
        <v>1</v>
      </c>
      <c r="P213" s="12" t="s">
        <v>195</v>
      </c>
      <c r="Q213" s="7" t="s">
        <v>315</v>
      </c>
      <c r="R213" s="7" t="str">
        <f>INDEX('Brown tagset'!$B:$B,MATCH(IF(ISERROR(FIND("-",Q213)),IF(ISERROR(FIND("+",Q213)),Q213,LEFT(Q213,FIND("+",Q213)-1)),LEFT(Q213,FIND("-",Q213)-1)),'Brown tagset'!$A:$A,0))</f>
        <v>verb, 3rd. singular present</v>
      </c>
      <c r="S213" s="7"/>
      <c r="T213" s="7" t="str">
        <f>INDEX('Brown-Universal mapping'!$B:$B,MATCH(Q213,'Brown-Universal mapping'!$A:$A,0))</f>
        <v>VERB</v>
      </c>
      <c r="U213" s="7">
        <f t="shared" si="35"/>
        <v>1</v>
      </c>
      <c r="V213" s="7">
        <f t="shared" si="36"/>
        <v>1</v>
      </c>
      <c r="X213" s="12" t="s">
        <v>195</v>
      </c>
      <c r="Y213" s="7" t="s">
        <v>315</v>
      </c>
      <c r="Z213" s="7" t="str">
        <f>INDEX('Brown tagset'!$B:$B,MATCH(IF(ISERROR(FIND("-",Y213)),IF(ISERROR(FIND("+",Y213)),Y213,LEFT(Y213,FIND("+",Y213)-1)),LEFT(Y213,FIND("-",Y213)-1)),'Brown tagset'!$A:$A,0))</f>
        <v>verb, 3rd. singular present</v>
      </c>
      <c r="AA213" s="7"/>
      <c r="AB213" s="7" t="str">
        <f>INDEX('Brown-Universal mapping'!$B:$B,MATCH(Y213,'Brown-Universal mapping'!$A:$A,0))</f>
        <v>VERB</v>
      </c>
      <c r="AC213" s="7">
        <f t="shared" ref="AC213:AC276" si="39">IF(Y213=$D213,1,0)</f>
        <v>1</v>
      </c>
      <c r="AD213" s="7">
        <f t="shared" ref="AD213:AD276" si="40">IF(AB213=$G213,1,0)</f>
        <v>1</v>
      </c>
      <c r="AF213" s="9" t="s">
        <v>196</v>
      </c>
      <c r="AG213" s="9" t="str">
        <f>INDEX('Brown tagset'!$B:$B,MATCH(IF(ISERROR(FIND("-",AF213)),IF(ISERROR(FIND("+",AF213)),AF213,LEFT(AF213,FIND("+",AF213)-1)),LEFT(AF213,FIND("-",AF213)-1)),'Brown tagset'!$A:$A,0))</f>
        <v>verb, 3rd. singular present</v>
      </c>
      <c r="AH213" s="9" t="s">
        <v>10</v>
      </c>
      <c r="AI213" s="9" t="str">
        <f>INDEX('Brown-Universal mapping'!$B:$B,MATCH(AF213,'Brown-Universal mapping'!$A:$A,0))</f>
        <v>VERB</v>
      </c>
      <c r="AJ213" s="9">
        <f t="shared" si="37"/>
        <v>1</v>
      </c>
      <c r="AK213" s="9">
        <f t="shared" si="38"/>
        <v>1</v>
      </c>
      <c r="AM213" s="6">
        <f t="shared" ref="AM213:AM276" si="41">M213+AC213+AJ213</f>
        <v>3</v>
      </c>
      <c r="AN213" s="6">
        <f t="shared" ref="AN213:AN276" si="42">N213+AD213+AK213</f>
        <v>3</v>
      </c>
      <c r="AP213" s="6" t="str">
        <f t="shared" ref="AP213:AP276" si="43">AG213&amp;AM213</f>
        <v>verb, 3rd. singular present3</v>
      </c>
    </row>
    <row r="214" spans="1:42" x14ac:dyDescent="0.25">
      <c r="A214" s="29" t="s">
        <v>21</v>
      </c>
      <c r="B214" s="29"/>
      <c r="D214" s="3" t="s">
        <v>22</v>
      </c>
      <c r="E214" s="3" t="str">
        <f>INDEX('Brown tagset'!$B:$B,MATCH(IF(ISERROR(FIND("-",D214)),IF(ISERROR(FIND("+",D214)),D214,LEFT(D214,FIND("+",D214)-1)),LEFT(D214,FIND("-",D214)-1)),'Brown tagset'!$A:$A,0))</f>
        <v>possessive personal pronoun (my, our)</v>
      </c>
      <c r="F214" s="3"/>
      <c r="G214" s="3" t="str">
        <f>INDEX('Brown-Universal mapping'!$B:$B,MATCH(D214,'Brown-Universal mapping'!$A:$A,0))</f>
        <v>DET</v>
      </c>
      <c r="I214" s="5" t="s">
        <v>22</v>
      </c>
      <c r="J214" s="5" t="str">
        <f>INDEX('Brown tagset'!$B:$B,MATCH(IF(ISERROR(FIND("-",I214)),IF(ISERROR(FIND("+",I214)),I214,LEFT(I214,FIND("+",I214)-1)),LEFT(I214,FIND("-",I214)-1)),'Brown tagset'!$A:$A,0))</f>
        <v>possessive personal pronoun (my, our)</v>
      </c>
      <c r="K214" s="5" t="s">
        <v>2</v>
      </c>
      <c r="L214" s="5" t="str">
        <f>INDEX('Brown-Universal mapping'!$B:$B,MATCH(I214,'Brown-Universal mapping'!$A:$A,0))</f>
        <v>DET</v>
      </c>
      <c r="M214" s="5">
        <f t="shared" si="33"/>
        <v>1</v>
      </c>
      <c r="N214" s="5">
        <f t="shared" si="34"/>
        <v>1</v>
      </c>
      <c r="P214" s="12" t="s">
        <v>21</v>
      </c>
      <c r="Q214" s="7" t="s">
        <v>291</v>
      </c>
      <c r="R214" s="7" t="str">
        <f>INDEX('Brown tagset'!$B:$B,MATCH(IF(ISERROR(FIND("-",Q214)),IF(ISERROR(FIND("+",Q214)),Q214,LEFT(Q214,FIND("+",Q214)-1)),LEFT(Q214,FIND("-",Q214)-1)),'Brown tagset'!$A:$A,0))</f>
        <v>possessive personal pronoun (my, our)</v>
      </c>
      <c r="S214" s="7"/>
      <c r="T214" s="7" t="str">
        <f>INDEX('Brown-Universal mapping'!$B:$B,MATCH(Q214,'Brown-Universal mapping'!$A:$A,0))</f>
        <v>DET</v>
      </c>
      <c r="U214" s="7">
        <f t="shared" si="35"/>
        <v>1</v>
      </c>
      <c r="V214" s="7">
        <f t="shared" si="36"/>
        <v>1</v>
      </c>
      <c r="X214" s="12" t="s">
        <v>21</v>
      </c>
      <c r="Y214" s="7" t="s">
        <v>291</v>
      </c>
      <c r="Z214" s="7" t="str">
        <f>INDEX('Brown tagset'!$B:$B,MATCH(IF(ISERROR(FIND("-",Y214)),IF(ISERROR(FIND("+",Y214)),Y214,LEFT(Y214,FIND("+",Y214)-1)),LEFT(Y214,FIND("-",Y214)-1)),'Brown tagset'!$A:$A,0))</f>
        <v>possessive personal pronoun (my, our)</v>
      </c>
      <c r="AA214" s="7"/>
      <c r="AB214" s="7" t="str">
        <f>INDEX('Brown-Universal mapping'!$B:$B,MATCH(Y214,'Brown-Universal mapping'!$A:$A,0))</f>
        <v>DET</v>
      </c>
      <c r="AC214" s="7">
        <f t="shared" si="39"/>
        <v>1</v>
      </c>
      <c r="AD214" s="7">
        <f t="shared" si="40"/>
        <v>1</v>
      </c>
      <c r="AF214" s="9" t="s">
        <v>22</v>
      </c>
      <c r="AG214" s="9" t="str">
        <f>INDEX('Brown tagset'!$B:$B,MATCH(IF(ISERROR(FIND("-",AF214)),IF(ISERROR(FIND("+",AF214)),AF214,LEFT(AF214,FIND("+",AF214)-1)),LEFT(AF214,FIND("-",AF214)-1)),'Brown tagset'!$A:$A,0))</f>
        <v>possessive personal pronoun (my, our)</v>
      </c>
      <c r="AH214" s="9" t="s">
        <v>2</v>
      </c>
      <c r="AI214" s="9" t="str">
        <f>INDEX('Brown-Universal mapping'!$B:$B,MATCH(AF214,'Brown-Universal mapping'!$A:$A,0))</f>
        <v>DET</v>
      </c>
      <c r="AJ214" s="9">
        <f t="shared" si="37"/>
        <v>1</v>
      </c>
      <c r="AK214" s="9">
        <f t="shared" si="38"/>
        <v>1</v>
      </c>
      <c r="AM214" s="6">
        <f t="shared" si="41"/>
        <v>3</v>
      </c>
      <c r="AN214" s="6">
        <f t="shared" si="42"/>
        <v>3</v>
      </c>
      <c r="AP214" s="6" t="str">
        <f t="shared" si="43"/>
        <v>possessive personal pronoun (my, our)3</v>
      </c>
    </row>
    <row r="215" spans="1:42" x14ac:dyDescent="0.25">
      <c r="A215" s="29" t="s">
        <v>79</v>
      </c>
      <c r="B215" s="29"/>
      <c r="D215" s="3" t="s">
        <v>31</v>
      </c>
      <c r="E215" s="3" t="str">
        <f>INDEX('Brown tagset'!$B:$B,MATCH(IF(ISERROR(FIND("-",D215)),IF(ISERROR(FIND("+",D215)),D215,LEFT(D215,FIND("+",D215)-1)),LEFT(D215,FIND("-",D215)-1)),'Brown tagset'!$A:$A,0))</f>
        <v>plural noun</v>
      </c>
      <c r="F215" s="3"/>
      <c r="G215" s="3" t="str">
        <f>INDEX('Brown-Universal mapping'!$B:$B,MATCH(D215,'Brown-Universal mapping'!$A:$A,0))</f>
        <v>NOUN</v>
      </c>
      <c r="I215" s="5" t="s">
        <v>31</v>
      </c>
      <c r="J215" s="5" t="str">
        <f>INDEX('Brown tagset'!$B:$B,MATCH(IF(ISERROR(FIND("-",I215)),IF(ISERROR(FIND("+",I215)),I215,LEFT(I215,FIND("+",I215)-1)),LEFT(I215,FIND("-",I215)-1)),'Brown tagset'!$A:$A,0))</f>
        <v>plural noun</v>
      </c>
      <c r="K215" s="5" t="s">
        <v>13</v>
      </c>
      <c r="L215" s="5" t="str">
        <f>INDEX('Brown-Universal mapping'!$B:$B,MATCH(I215,'Brown-Universal mapping'!$A:$A,0))</f>
        <v>NOUN</v>
      </c>
      <c r="M215" s="5">
        <f t="shared" si="33"/>
        <v>1</v>
      </c>
      <c r="N215" s="5">
        <f t="shared" si="34"/>
        <v>1</v>
      </c>
      <c r="P215" s="12" t="s">
        <v>79</v>
      </c>
      <c r="Q215" s="7" t="s">
        <v>295</v>
      </c>
      <c r="R215" s="7" t="str">
        <f>INDEX('Brown tagset'!$B:$B,MATCH(IF(ISERROR(FIND("-",Q215)),IF(ISERROR(FIND("+",Q215)),Q215,LEFT(Q215,FIND("+",Q215)-1)),LEFT(Q215,FIND("-",Q215)-1)),'Brown tagset'!$A:$A,0))</f>
        <v>plural noun</v>
      </c>
      <c r="S215" s="7"/>
      <c r="T215" s="7" t="str">
        <f>INDEX('Brown-Universal mapping'!$B:$B,MATCH(Q215,'Brown-Universal mapping'!$A:$A,0))</f>
        <v>NOUN</v>
      </c>
      <c r="U215" s="7">
        <f t="shared" si="35"/>
        <v>1</v>
      </c>
      <c r="V215" s="7">
        <f t="shared" si="36"/>
        <v>1</v>
      </c>
      <c r="X215" s="12" t="s">
        <v>79</v>
      </c>
      <c r="Y215" s="7" t="s">
        <v>295</v>
      </c>
      <c r="Z215" s="7" t="str">
        <f>INDEX('Brown tagset'!$B:$B,MATCH(IF(ISERROR(FIND("-",Y215)),IF(ISERROR(FIND("+",Y215)),Y215,LEFT(Y215,FIND("+",Y215)-1)),LEFT(Y215,FIND("-",Y215)-1)),'Brown tagset'!$A:$A,0))</f>
        <v>plural noun</v>
      </c>
      <c r="AA215" s="7"/>
      <c r="AB215" s="7" t="str">
        <f>INDEX('Brown-Universal mapping'!$B:$B,MATCH(Y215,'Brown-Universal mapping'!$A:$A,0))</f>
        <v>NOUN</v>
      </c>
      <c r="AC215" s="7">
        <f t="shared" si="39"/>
        <v>1</v>
      </c>
      <c r="AD215" s="7">
        <f t="shared" si="40"/>
        <v>1</v>
      </c>
      <c r="AF215" s="9" t="s">
        <v>31</v>
      </c>
      <c r="AG215" s="9" t="str">
        <f>INDEX('Brown tagset'!$B:$B,MATCH(IF(ISERROR(FIND("-",AF215)),IF(ISERROR(FIND("+",AF215)),AF215,LEFT(AF215,FIND("+",AF215)-1)),LEFT(AF215,FIND("-",AF215)-1)),'Brown tagset'!$A:$A,0))</f>
        <v>plural noun</v>
      </c>
      <c r="AH215" s="9" t="s">
        <v>13</v>
      </c>
      <c r="AI215" s="9" t="str">
        <f>INDEX('Brown-Universal mapping'!$B:$B,MATCH(AF215,'Brown-Universal mapping'!$A:$A,0))</f>
        <v>NOUN</v>
      </c>
      <c r="AJ215" s="9">
        <f t="shared" si="37"/>
        <v>1</v>
      </c>
      <c r="AK215" s="9">
        <f t="shared" si="38"/>
        <v>1</v>
      </c>
      <c r="AM215" s="6">
        <f t="shared" si="41"/>
        <v>3</v>
      </c>
      <c r="AN215" s="6">
        <f t="shared" si="42"/>
        <v>3</v>
      </c>
      <c r="AP215" s="6" t="str">
        <f t="shared" si="43"/>
        <v>plural noun3</v>
      </c>
    </row>
    <row r="216" spans="1:42" x14ac:dyDescent="0.25">
      <c r="A216" s="29" t="s">
        <v>58</v>
      </c>
      <c r="B216" s="29"/>
      <c r="D216" s="3" t="s">
        <v>59</v>
      </c>
      <c r="E216" s="3" t="str">
        <f>INDEX('Brown tagset'!$B:$B,MATCH(IF(ISERROR(FIND("-",D216)),IF(ISERROR(FIND("+",D216)),D216,LEFT(D216,FIND("+",D216)-1)),LEFT(D216,FIND("-",D216)-1)),'Brown tagset'!$A:$A,0))</f>
        <v>preposition</v>
      </c>
      <c r="F216" s="3"/>
      <c r="G216" s="3" t="str">
        <f>INDEX('Brown-Universal mapping'!$B:$B,MATCH(D216,'Brown-Universal mapping'!$A:$A,0))</f>
        <v>ADP</v>
      </c>
      <c r="I216" s="5" t="s">
        <v>59</v>
      </c>
      <c r="J216" s="5" t="str">
        <f>INDEX('Brown tagset'!$B:$B,MATCH(IF(ISERROR(FIND("-",I216)),IF(ISERROR(FIND("+",I216)),I216,LEFT(I216,FIND("+",I216)-1)),LEFT(I216,FIND("-",I216)-1)),'Brown tagset'!$A:$A,0))</f>
        <v>preposition</v>
      </c>
      <c r="K216" s="5" t="s">
        <v>60</v>
      </c>
      <c r="L216" s="5" t="str">
        <f>INDEX('Brown-Universal mapping'!$B:$B,MATCH(I216,'Brown-Universal mapping'!$A:$A,0))</f>
        <v>ADP</v>
      </c>
      <c r="M216" s="5">
        <f t="shared" si="33"/>
        <v>1</v>
      </c>
      <c r="N216" s="5">
        <f t="shared" si="34"/>
        <v>1</v>
      </c>
      <c r="P216" s="12" t="s">
        <v>58</v>
      </c>
      <c r="Q216" s="7" t="s">
        <v>124</v>
      </c>
      <c r="R216" s="7" t="str">
        <f>INDEX('Brown tagset'!$B:$B,MATCH(IF(ISERROR(FIND("-",Q216)),IF(ISERROR(FIND("+",Q216)),Q216,LEFT(Q216,FIND("+",Q216)-1)),LEFT(Q216,FIND("-",Q216)-1)),'Brown tagset'!$A:$A,0))</f>
        <v>preposition</v>
      </c>
      <c r="S216" s="7"/>
      <c r="T216" s="7" t="str">
        <f>INDEX('Brown-Universal mapping'!$B:$B,MATCH(Q216,'Brown-Universal mapping'!$A:$A,0))</f>
        <v>ADP</v>
      </c>
      <c r="U216" s="7">
        <f t="shared" si="35"/>
        <v>1</v>
      </c>
      <c r="V216" s="7">
        <f t="shared" si="36"/>
        <v>1</v>
      </c>
      <c r="X216" s="12" t="s">
        <v>58</v>
      </c>
      <c r="Y216" s="7" t="s">
        <v>124</v>
      </c>
      <c r="Z216" s="7" t="str">
        <f>INDEX('Brown tagset'!$B:$B,MATCH(IF(ISERROR(FIND("-",Y216)),IF(ISERROR(FIND("+",Y216)),Y216,LEFT(Y216,FIND("+",Y216)-1)),LEFT(Y216,FIND("-",Y216)-1)),'Brown tagset'!$A:$A,0))</f>
        <v>preposition</v>
      </c>
      <c r="AA216" s="7"/>
      <c r="AB216" s="7" t="str">
        <f>INDEX('Brown-Universal mapping'!$B:$B,MATCH(Y216,'Brown-Universal mapping'!$A:$A,0))</f>
        <v>ADP</v>
      </c>
      <c r="AC216" s="7">
        <f t="shared" si="39"/>
        <v>1</v>
      </c>
      <c r="AD216" s="7">
        <f t="shared" si="40"/>
        <v>1</v>
      </c>
      <c r="AF216" s="9" t="s">
        <v>59</v>
      </c>
      <c r="AG216" s="9" t="str">
        <f>INDEX('Brown tagset'!$B:$B,MATCH(IF(ISERROR(FIND("-",AF216)),IF(ISERROR(FIND("+",AF216)),AF216,LEFT(AF216,FIND("+",AF216)-1)),LEFT(AF216,FIND("-",AF216)-1)),'Brown tagset'!$A:$A,0))</f>
        <v>preposition</v>
      </c>
      <c r="AH216" s="9" t="s">
        <v>60</v>
      </c>
      <c r="AI216" s="9" t="str">
        <f>INDEX('Brown-Universal mapping'!$B:$B,MATCH(AF216,'Brown-Universal mapping'!$A:$A,0))</f>
        <v>ADP</v>
      </c>
      <c r="AJ216" s="9">
        <f t="shared" si="37"/>
        <v>1</v>
      </c>
      <c r="AK216" s="9">
        <f t="shared" si="38"/>
        <v>1</v>
      </c>
      <c r="AM216" s="6">
        <f t="shared" si="41"/>
        <v>3</v>
      </c>
      <c r="AN216" s="6">
        <f t="shared" si="42"/>
        <v>3</v>
      </c>
      <c r="AP216" s="6" t="str">
        <f t="shared" si="43"/>
        <v>preposition3</v>
      </c>
    </row>
    <row r="217" spans="1:42" x14ac:dyDescent="0.25">
      <c r="A217" s="29" t="s">
        <v>90</v>
      </c>
      <c r="B217" s="29"/>
      <c r="D217" s="3" t="s">
        <v>7</v>
      </c>
      <c r="E217" s="3" t="str">
        <f>INDEX('Brown tagset'!$B:$B,MATCH(IF(ISERROR(FIND("-",D217)),IF(ISERROR(FIND("+",D217)),D217,LEFT(D217,FIND("+",D217)-1)),LEFT(D217,FIND("-",D217)-1)),'Brown tagset'!$A:$A,0))</f>
        <v>article (a, the, no)</v>
      </c>
      <c r="F217" s="3"/>
      <c r="G217" s="3" t="str">
        <f>INDEX('Brown-Universal mapping'!$B:$B,MATCH(D217,'Brown-Universal mapping'!$A:$A,0))</f>
        <v>DET</v>
      </c>
      <c r="I217" s="5" t="s">
        <v>7</v>
      </c>
      <c r="J217" s="5" t="str">
        <f>INDEX('Brown tagset'!$B:$B,MATCH(IF(ISERROR(FIND("-",I217)),IF(ISERROR(FIND("+",I217)),I217,LEFT(I217,FIND("+",I217)-1)),LEFT(I217,FIND("-",I217)-1)),'Brown tagset'!$A:$A,0))</f>
        <v>article (a, the, no)</v>
      </c>
      <c r="K217" s="5" t="s">
        <v>2</v>
      </c>
      <c r="L217" s="5" t="str">
        <f>INDEX('Brown-Universal mapping'!$B:$B,MATCH(I217,'Brown-Universal mapping'!$A:$A,0))</f>
        <v>DET</v>
      </c>
      <c r="M217" s="5">
        <f t="shared" si="33"/>
        <v>1</v>
      </c>
      <c r="N217" s="5">
        <f t="shared" si="34"/>
        <v>1</v>
      </c>
      <c r="P217" s="12" t="s">
        <v>90</v>
      </c>
      <c r="Q217" s="7" t="s">
        <v>89</v>
      </c>
      <c r="R217" s="7" t="str">
        <f>INDEX('Brown tagset'!$B:$B,MATCH(IF(ISERROR(FIND("-",Q217)),IF(ISERROR(FIND("+",Q217)),Q217,LEFT(Q217,FIND("+",Q217)-1)),LEFT(Q217,FIND("-",Q217)-1)),'Brown tagset'!$A:$A,0))</f>
        <v>article (a, the, no)</v>
      </c>
      <c r="S217" s="7"/>
      <c r="T217" s="7" t="str">
        <f>INDEX('Brown-Universal mapping'!$B:$B,MATCH(Q217,'Brown-Universal mapping'!$A:$A,0))</f>
        <v>DET</v>
      </c>
      <c r="U217" s="7">
        <f t="shared" si="35"/>
        <v>1</v>
      </c>
      <c r="V217" s="7">
        <f t="shared" si="36"/>
        <v>1</v>
      </c>
      <c r="X217" s="12" t="s">
        <v>90</v>
      </c>
      <c r="Y217" s="7" t="s">
        <v>89</v>
      </c>
      <c r="Z217" s="7" t="str">
        <f>INDEX('Brown tagset'!$B:$B,MATCH(IF(ISERROR(FIND("-",Y217)),IF(ISERROR(FIND("+",Y217)),Y217,LEFT(Y217,FIND("+",Y217)-1)),LEFT(Y217,FIND("-",Y217)-1)),'Brown tagset'!$A:$A,0))</f>
        <v>article (a, the, no)</v>
      </c>
      <c r="AA217" s="7"/>
      <c r="AB217" s="7" t="str">
        <f>INDEX('Brown-Universal mapping'!$B:$B,MATCH(Y217,'Brown-Universal mapping'!$A:$A,0))</f>
        <v>DET</v>
      </c>
      <c r="AC217" s="7">
        <f t="shared" si="39"/>
        <v>1</v>
      </c>
      <c r="AD217" s="7">
        <f t="shared" si="40"/>
        <v>1</v>
      </c>
      <c r="AF217" s="9" t="s">
        <v>7</v>
      </c>
      <c r="AG217" s="9" t="str">
        <f>INDEX('Brown tagset'!$B:$B,MATCH(IF(ISERROR(FIND("-",AF217)),IF(ISERROR(FIND("+",AF217)),AF217,LEFT(AF217,FIND("+",AF217)-1)),LEFT(AF217,FIND("-",AF217)-1)),'Brown tagset'!$A:$A,0))</f>
        <v>article (a, the, no)</v>
      </c>
      <c r="AH217" s="9" t="s">
        <v>2</v>
      </c>
      <c r="AI217" s="9" t="str">
        <f>INDEX('Brown-Universal mapping'!$B:$B,MATCH(AF217,'Brown-Universal mapping'!$A:$A,0))</f>
        <v>DET</v>
      </c>
      <c r="AJ217" s="9">
        <f t="shared" si="37"/>
        <v>1</v>
      </c>
      <c r="AK217" s="9">
        <f t="shared" si="38"/>
        <v>1</v>
      </c>
      <c r="AM217" s="6">
        <f t="shared" si="41"/>
        <v>3</v>
      </c>
      <c r="AN217" s="6">
        <f t="shared" si="42"/>
        <v>3</v>
      </c>
      <c r="AP217" s="6" t="str">
        <f t="shared" si="43"/>
        <v>article (a, the, no)3</v>
      </c>
    </row>
    <row r="218" spans="1:42" x14ac:dyDescent="0.25">
      <c r="A218" s="28" t="s">
        <v>197</v>
      </c>
      <c r="B218" s="28"/>
      <c r="D218" s="3" t="s">
        <v>12</v>
      </c>
      <c r="E218" s="3" t="str">
        <f>INDEX('Brown tagset'!$B:$B,MATCH(IF(ISERROR(FIND("-",D218)),IF(ISERROR(FIND("+",D218)),D218,LEFT(D218,FIND("+",D218)-1)),LEFT(D218,FIND("-",D218)-1)),'Brown tagset'!$A:$A,0))</f>
        <v>singular or mass noun</v>
      </c>
      <c r="F218" s="3"/>
      <c r="G218" s="3" t="str">
        <f>INDEX('Brown-Universal mapping'!$B:$B,MATCH(D218,'Brown-Universal mapping'!$A:$A,0))</f>
        <v>NOUN</v>
      </c>
      <c r="I218" s="5" t="s">
        <v>45</v>
      </c>
      <c r="J218" s="5" t="str">
        <f>INDEX('Brown tagset'!$B:$B,MATCH(IF(ISERROR(FIND("-",I218)),IF(ISERROR(FIND("+",I218)),I218,LEFT(I218,FIND("+",I218)-1)),LEFT(I218,FIND("-",I218)-1)),'Brown tagset'!$A:$A,0))</f>
        <v>adjective</v>
      </c>
      <c r="K218" s="5" t="s">
        <v>46</v>
      </c>
      <c r="L218" s="5" t="str">
        <f>INDEX('Brown-Universal mapping'!$B:$B,MATCH(I218,'Brown-Universal mapping'!$A:$A,0))</f>
        <v>ADJ</v>
      </c>
      <c r="M218" s="5">
        <f t="shared" si="33"/>
        <v>0</v>
      </c>
      <c r="N218" s="5">
        <f t="shared" si="34"/>
        <v>0</v>
      </c>
      <c r="P218" s="12" t="s">
        <v>197</v>
      </c>
      <c r="Q218" s="7" t="s">
        <v>299</v>
      </c>
      <c r="R218" s="7" t="str">
        <f>INDEX('Brown tagset'!$B:$B,MATCH(IF(ISERROR(FIND("-",Q218)),IF(ISERROR(FIND("+",Q218)),Q218,LEFT(Q218,FIND("+",Q218)-1)),LEFT(Q218,FIND("-",Q218)-1)),'Brown tagset'!$A:$A,0))</f>
        <v>adjective</v>
      </c>
      <c r="S218" s="7"/>
      <c r="T218" s="7" t="str">
        <f>INDEX('Brown-Universal mapping'!$B:$B,MATCH(Q218,'Brown-Universal mapping'!$A:$A,0))</f>
        <v>ADJ</v>
      </c>
      <c r="U218" s="7">
        <f t="shared" si="35"/>
        <v>0</v>
      </c>
      <c r="V218" s="7">
        <f t="shared" si="36"/>
        <v>0</v>
      </c>
      <c r="X218" s="12" t="s">
        <v>197</v>
      </c>
      <c r="Y218" s="7" t="s">
        <v>299</v>
      </c>
      <c r="Z218" s="7" t="str">
        <f>INDEX('Brown tagset'!$B:$B,MATCH(IF(ISERROR(FIND("-",Y218)),IF(ISERROR(FIND("+",Y218)),Y218,LEFT(Y218,FIND("+",Y218)-1)),LEFT(Y218,FIND("-",Y218)-1)),'Brown tagset'!$A:$A,0))</f>
        <v>adjective</v>
      </c>
      <c r="AA218" s="7"/>
      <c r="AB218" s="7" t="str">
        <f>INDEX('Brown-Universal mapping'!$B:$B,MATCH(Y218,'Brown-Universal mapping'!$A:$A,0))</f>
        <v>ADJ</v>
      </c>
      <c r="AC218" s="7">
        <f t="shared" si="39"/>
        <v>0</v>
      </c>
      <c r="AD218" s="7">
        <f t="shared" si="40"/>
        <v>0</v>
      </c>
      <c r="AF218" s="9" t="s">
        <v>340</v>
      </c>
      <c r="AG218" s="9" t="str">
        <f>INDEX('Brown tagset'!$B:$B,MATCH(IF(ISERROR(FIND("-",AF218)),IF(ISERROR(FIND("+",AF218)),AF218,LEFT(AF218,FIND("+",AF218)-1)),LEFT(AF218,FIND("-",AF218)-1)),'Brown tagset'!$A:$A,0))</f>
        <v>unknown</v>
      </c>
      <c r="AH218" s="9" t="s">
        <v>2</v>
      </c>
      <c r="AI218" s="9" t="str">
        <f>INDEX('Brown-Universal mapping'!$B:$B,MATCH(AF218,'Brown-Universal mapping'!$A:$A,0))</f>
        <v>Unknown</v>
      </c>
      <c r="AJ218" s="9">
        <f t="shared" si="37"/>
        <v>0</v>
      </c>
      <c r="AK218" s="9">
        <f t="shared" si="38"/>
        <v>0</v>
      </c>
      <c r="AM218" s="6">
        <f t="shared" si="41"/>
        <v>0</v>
      </c>
      <c r="AN218" s="6">
        <f t="shared" si="42"/>
        <v>0</v>
      </c>
      <c r="AP218" s="6" t="str">
        <f t="shared" si="43"/>
        <v>unknown0</v>
      </c>
    </row>
    <row r="219" spans="1:42" x14ac:dyDescent="0.25">
      <c r="A219" s="25" t="s">
        <v>198</v>
      </c>
      <c r="B219" s="25"/>
      <c r="D219" s="3" t="s">
        <v>12</v>
      </c>
      <c r="E219" s="3" t="str">
        <f>INDEX('Brown tagset'!$B:$B,MATCH(IF(ISERROR(FIND("-",D219)),IF(ISERROR(FIND("+",D219)),D219,LEFT(D219,FIND("+",D219)-1)),LEFT(D219,FIND("-",D219)-1)),'Brown tagset'!$A:$A,0))</f>
        <v>singular or mass noun</v>
      </c>
      <c r="F219" s="3"/>
      <c r="G219" s="3" t="str">
        <f>INDEX('Brown-Universal mapping'!$B:$B,MATCH(D219,'Brown-Universal mapping'!$A:$A,0))</f>
        <v>NOUN</v>
      </c>
      <c r="I219" s="5" t="s">
        <v>12</v>
      </c>
      <c r="J219" s="5" t="str">
        <f>INDEX('Brown tagset'!$B:$B,MATCH(IF(ISERROR(FIND("-",I219)),IF(ISERROR(FIND("+",I219)),I219,LEFT(I219,FIND("+",I219)-1)),LEFT(I219,FIND("-",I219)-1)),'Brown tagset'!$A:$A,0))</f>
        <v>singular or mass noun</v>
      </c>
      <c r="K219" s="5" t="s">
        <v>13</v>
      </c>
      <c r="L219" s="5" t="str">
        <f>INDEX('Brown-Universal mapping'!$B:$B,MATCH(I219,'Brown-Universal mapping'!$A:$A,0))</f>
        <v>NOUN</v>
      </c>
      <c r="M219" s="5">
        <f t="shared" si="33"/>
        <v>1</v>
      </c>
      <c r="N219" s="5">
        <f t="shared" si="34"/>
        <v>1</v>
      </c>
      <c r="P219" s="12" t="s">
        <v>198</v>
      </c>
      <c r="Q219" s="7" t="s">
        <v>289</v>
      </c>
      <c r="R219" s="7" t="str">
        <f>INDEX('Brown tagset'!$B:$B,MATCH(IF(ISERROR(FIND("-",Q219)),IF(ISERROR(FIND("+",Q219)),Q219,LEFT(Q219,FIND("+",Q219)-1)),LEFT(Q219,FIND("-",Q219)-1)),'Brown tagset'!$A:$A,0))</f>
        <v>singular or mass noun</v>
      </c>
      <c r="S219" s="7"/>
      <c r="T219" s="7" t="str">
        <f>INDEX('Brown-Universal mapping'!$B:$B,MATCH(Q219,'Brown-Universal mapping'!$A:$A,0))</f>
        <v>NOUN</v>
      </c>
      <c r="U219" s="7">
        <f t="shared" si="35"/>
        <v>1</v>
      </c>
      <c r="V219" s="7">
        <f t="shared" si="36"/>
        <v>1</v>
      </c>
      <c r="X219" s="12" t="s">
        <v>198</v>
      </c>
      <c r="Y219" s="7" t="s">
        <v>289</v>
      </c>
      <c r="Z219" s="7" t="str">
        <f>INDEX('Brown tagset'!$B:$B,MATCH(IF(ISERROR(FIND("-",Y219)),IF(ISERROR(FIND("+",Y219)),Y219,LEFT(Y219,FIND("+",Y219)-1)),LEFT(Y219,FIND("-",Y219)-1)),'Brown tagset'!$A:$A,0))</f>
        <v>singular or mass noun</v>
      </c>
      <c r="AA219" s="7"/>
      <c r="AB219" s="7" t="str">
        <f>INDEX('Brown-Universal mapping'!$B:$B,MATCH(Y219,'Brown-Universal mapping'!$A:$A,0))</f>
        <v>NOUN</v>
      </c>
      <c r="AC219" s="7">
        <f t="shared" si="39"/>
        <v>1</v>
      </c>
      <c r="AD219" s="7">
        <f t="shared" si="40"/>
        <v>1</v>
      </c>
      <c r="AF219" s="9" t="s">
        <v>340</v>
      </c>
      <c r="AG219" s="9" t="str">
        <f>INDEX('Brown tagset'!$B:$B,MATCH(IF(ISERROR(FIND("-",AF219)),IF(ISERROR(FIND("+",AF219)),AF219,LEFT(AF219,FIND("+",AF219)-1)),LEFT(AF219,FIND("-",AF219)-1)),'Brown tagset'!$A:$A,0))</f>
        <v>unknown</v>
      </c>
      <c r="AH219" s="9" t="s">
        <v>2</v>
      </c>
      <c r="AI219" s="9" t="str">
        <f>INDEX('Brown-Universal mapping'!$B:$B,MATCH(AF219,'Brown-Universal mapping'!$A:$A,0))</f>
        <v>Unknown</v>
      </c>
      <c r="AJ219" s="9">
        <f t="shared" si="37"/>
        <v>0</v>
      </c>
      <c r="AK219" s="9">
        <f t="shared" si="38"/>
        <v>0</v>
      </c>
      <c r="AM219" s="6">
        <f t="shared" si="41"/>
        <v>2</v>
      </c>
      <c r="AN219" s="6">
        <f t="shared" si="42"/>
        <v>2</v>
      </c>
      <c r="AP219" s="6" t="str">
        <f t="shared" si="43"/>
        <v>unknown2</v>
      </c>
    </row>
    <row r="220" spans="1:42" x14ac:dyDescent="0.25">
      <c r="A220" s="29" t="s">
        <v>81</v>
      </c>
      <c r="B220" s="29"/>
      <c r="D220" s="3" t="s">
        <v>59</v>
      </c>
      <c r="E220" s="3" t="str">
        <f>INDEX('Brown tagset'!$B:$B,MATCH(IF(ISERROR(FIND("-",D220)),IF(ISERROR(FIND("+",D220)),D220,LEFT(D220,FIND("+",D220)-1)),LEFT(D220,FIND("-",D220)-1)),'Brown tagset'!$A:$A,0))</f>
        <v>preposition</v>
      </c>
      <c r="F220" s="3"/>
      <c r="G220" s="3" t="str">
        <f>INDEX('Brown-Universal mapping'!$B:$B,MATCH(D220,'Brown-Universal mapping'!$A:$A,0))</f>
        <v>ADP</v>
      </c>
      <c r="I220" s="5" t="s">
        <v>59</v>
      </c>
      <c r="J220" s="5" t="str">
        <f>INDEX('Brown tagset'!$B:$B,MATCH(IF(ISERROR(FIND("-",I220)),IF(ISERROR(FIND("+",I220)),I220,LEFT(I220,FIND("+",I220)-1)),LEFT(I220,FIND("-",I220)-1)),'Brown tagset'!$A:$A,0))</f>
        <v>preposition</v>
      </c>
      <c r="K220" s="5" t="s">
        <v>60</v>
      </c>
      <c r="L220" s="5" t="str">
        <f>INDEX('Brown-Universal mapping'!$B:$B,MATCH(I220,'Brown-Universal mapping'!$A:$A,0))</f>
        <v>ADP</v>
      </c>
      <c r="M220" s="5">
        <f t="shared" si="33"/>
        <v>1</v>
      </c>
      <c r="N220" s="5">
        <f t="shared" si="34"/>
        <v>1</v>
      </c>
      <c r="P220" s="12" t="s">
        <v>81</v>
      </c>
      <c r="Q220" s="7" t="s">
        <v>124</v>
      </c>
      <c r="R220" s="7" t="str">
        <f>INDEX('Brown tagset'!$B:$B,MATCH(IF(ISERROR(FIND("-",Q220)),IF(ISERROR(FIND("+",Q220)),Q220,LEFT(Q220,FIND("+",Q220)-1)),LEFT(Q220,FIND("-",Q220)-1)),'Brown tagset'!$A:$A,0))</f>
        <v>preposition</v>
      </c>
      <c r="S220" s="7"/>
      <c r="T220" s="7" t="str">
        <f>INDEX('Brown-Universal mapping'!$B:$B,MATCH(Q220,'Brown-Universal mapping'!$A:$A,0))</f>
        <v>ADP</v>
      </c>
      <c r="U220" s="7">
        <f t="shared" si="35"/>
        <v>1</v>
      </c>
      <c r="V220" s="7">
        <f t="shared" si="36"/>
        <v>1</v>
      </c>
      <c r="X220" s="12" t="s">
        <v>81</v>
      </c>
      <c r="Y220" s="7" t="s">
        <v>124</v>
      </c>
      <c r="Z220" s="7" t="str">
        <f>INDEX('Brown tagset'!$B:$B,MATCH(IF(ISERROR(FIND("-",Y220)),IF(ISERROR(FIND("+",Y220)),Y220,LEFT(Y220,FIND("+",Y220)-1)),LEFT(Y220,FIND("-",Y220)-1)),'Brown tagset'!$A:$A,0))</f>
        <v>preposition</v>
      </c>
      <c r="AA220" s="7"/>
      <c r="AB220" s="7" t="str">
        <f>INDEX('Brown-Universal mapping'!$B:$B,MATCH(Y220,'Brown-Universal mapping'!$A:$A,0))</f>
        <v>ADP</v>
      </c>
      <c r="AC220" s="7">
        <f t="shared" si="39"/>
        <v>1</v>
      </c>
      <c r="AD220" s="7">
        <f t="shared" si="40"/>
        <v>1</v>
      </c>
      <c r="AF220" s="9" t="s">
        <v>59</v>
      </c>
      <c r="AG220" s="9" t="str">
        <f>INDEX('Brown tagset'!$B:$B,MATCH(IF(ISERROR(FIND("-",AF220)),IF(ISERROR(FIND("+",AF220)),AF220,LEFT(AF220,FIND("+",AF220)-1)),LEFT(AF220,FIND("-",AF220)-1)),'Brown tagset'!$A:$A,0))</f>
        <v>preposition</v>
      </c>
      <c r="AH220" s="9" t="s">
        <v>60</v>
      </c>
      <c r="AI220" s="9" t="str">
        <f>INDEX('Brown-Universal mapping'!$B:$B,MATCH(AF220,'Brown-Universal mapping'!$A:$A,0))</f>
        <v>ADP</v>
      </c>
      <c r="AJ220" s="9">
        <f t="shared" si="37"/>
        <v>1</v>
      </c>
      <c r="AK220" s="9">
        <f t="shared" si="38"/>
        <v>1</v>
      </c>
      <c r="AM220" s="6">
        <f t="shared" si="41"/>
        <v>3</v>
      </c>
      <c r="AN220" s="6">
        <f t="shared" si="42"/>
        <v>3</v>
      </c>
      <c r="AP220" s="6" t="str">
        <f t="shared" si="43"/>
        <v>preposition3</v>
      </c>
    </row>
    <row r="221" spans="1:42" x14ac:dyDescent="0.25">
      <c r="A221" s="29" t="s">
        <v>90</v>
      </c>
      <c r="B221" s="29"/>
      <c r="D221" s="3" t="s">
        <v>7</v>
      </c>
      <c r="E221" s="3" t="str">
        <f>INDEX('Brown tagset'!$B:$B,MATCH(IF(ISERROR(FIND("-",D221)),IF(ISERROR(FIND("+",D221)),D221,LEFT(D221,FIND("+",D221)-1)),LEFT(D221,FIND("-",D221)-1)),'Brown tagset'!$A:$A,0))</f>
        <v>article (a, the, no)</v>
      </c>
      <c r="F221" s="3"/>
      <c r="G221" s="3" t="str">
        <f>INDEX('Brown-Universal mapping'!$B:$B,MATCH(D221,'Brown-Universal mapping'!$A:$A,0))</f>
        <v>DET</v>
      </c>
      <c r="I221" s="5" t="s">
        <v>7</v>
      </c>
      <c r="J221" s="5" t="str">
        <f>INDEX('Brown tagset'!$B:$B,MATCH(IF(ISERROR(FIND("-",I221)),IF(ISERROR(FIND("+",I221)),I221,LEFT(I221,FIND("+",I221)-1)),LEFT(I221,FIND("-",I221)-1)),'Brown tagset'!$A:$A,0))</f>
        <v>article (a, the, no)</v>
      </c>
      <c r="K221" s="5" t="s">
        <v>2</v>
      </c>
      <c r="L221" s="5" t="str">
        <f>INDEX('Brown-Universal mapping'!$B:$B,MATCH(I221,'Brown-Universal mapping'!$A:$A,0))</f>
        <v>DET</v>
      </c>
      <c r="M221" s="5">
        <f t="shared" si="33"/>
        <v>1</v>
      </c>
      <c r="N221" s="5">
        <f t="shared" si="34"/>
        <v>1</v>
      </c>
      <c r="P221" s="12" t="s">
        <v>90</v>
      </c>
      <c r="Q221" s="7" t="s">
        <v>89</v>
      </c>
      <c r="R221" s="7" t="str">
        <f>INDEX('Brown tagset'!$B:$B,MATCH(IF(ISERROR(FIND("-",Q221)),IF(ISERROR(FIND("+",Q221)),Q221,LEFT(Q221,FIND("+",Q221)-1)),LEFT(Q221,FIND("-",Q221)-1)),'Brown tagset'!$A:$A,0))</f>
        <v>article (a, the, no)</v>
      </c>
      <c r="S221" s="7"/>
      <c r="T221" s="7" t="str">
        <f>INDEX('Brown-Universal mapping'!$B:$B,MATCH(Q221,'Brown-Universal mapping'!$A:$A,0))</f>
        <v>DET</v>
      </c>
      <c r="U221" s="7">
        <f t="shared" si="35"/>
        <v>1</v>
      </c>
      <c r="V221" s="7">
        <f t="shared" si="36"/>
        <v>1</v>
      </c>
      <c r="X221" s="12" t="s">
        <v>90</v>
      </c>
      <c r="Y221" s="7" t="s">
        <v>89</v>
      </c>
      <c r="Z221" s="7" t="str">
        <f>INDEX('Brown tagset'!$B:$B,MATCH(IF(ISERROR(FIND("-",Y221)),IF(ISERROR(FIND("+",Y221)),Y221,LEFT(Y221,FIND("+",Y221)-1)),LEFT(Y221,FIND("-",Y221)-1)),'Brown tagset'!$A:$A,0))</f>
        <v>article (a, the, no)</v>
      </c>
      <c r="AA221" s="7"/>
      <c r="AB221" s="7" t="str">
        <f>INDEX('Brown-Universal mapping'!$B:$B,MATCH(Y221,'Brown-Universal mapping'!$A:$A,0))</f>
        <v>DET</v>
      </c>
      <c r="AC221" s="7">
        <f t="shared" si="39"/>
        <v>1</v>
      </c>
      <c r="AD221" s="7">
        <f t="shared" si="40"/>
        <v>1</v>
      </c>
      <c r="AF221" s="9" t="s">
        <v>7</v>
      </c>
      <c r="AG221" s="9" t="str">
        <f>INDEX('Brown tagset'!$B:$B,MATCH(IF(ISERROR(FIND("-",AF221)),IF(ISERROR(FIND("+",AF221)),AF221,LEFT(AF221,FIND("+",AF221)-1)),LEFT(AF221,FIND("-",AF221)-1)),'Brown tagset'!$A:$A,0))</f>
        <v>article (a, the, no)</v>
      </c>
      <c r="AH221" s="9" t="s">
        <v>2</v>
      </c>
      <c r="AI221" s="9" t="str">
        <f>INDEX('Brown-Universal mapping'!$B:$B,MATCH(AF221,'Brown-Universal mapping'!$A:$A,0))</f>
        <v>DET</v>
      </c>
      <c r="AJ221" s="9">
        <f t="shared" si="37"/>
        <v>1</v>
      </c>
      <c r="AK221" s="9">
        <f t="shared" si="38"/>
        <v>1</v>
      </c>
      <c r="AM221" s="6">
        <f t="shared" si="41"/>
        <v>3</v>
      </c>
      <c r="AN221" s="6">
        <f t="shared" si="42"/>
        <v>3</v>
      </c>
      <c r="AP221" s="6" t="str">
        <f t="shared" si="43"/>
        <v>article (a, the, no)3</v>
      </c>
    </row>
    <row r="222" spans="1:42" x14ac:dyDescent="0.25">
      <c r="A222" s="29" t="s">
        <v>199</v>
      </c>
      <c r="B222" s="29"/>
      <c r="D222" s="3" t="s">
        <v>12</v>
      </c>
      <c r="E222" s="3" t="str">
        <f>INDEX('Brown tagset'!$B:$B,MATCH(IF(ISERROR(FIND("-",D222)),IF(ISERROR(FIND("+",D222)),D222,LEFT(D222,FIND("+",D222)-1)),LEFT(D222,FIND("-",D222)-1)),'Brown tagset'!$A:$A,0))</f>
        <v>singular or mass noun</v>
      </c>
      <c r="F222" s="3"/>
      <c r="G222" s="3" t="str">
        <f>INDEX('Brown-Universal mapping'!$B:$B,MATCH(D222,'Brown-Universal mapping'!$A:$A,0))</f>
        <v>NOUN</v>
      </c>
      <c r="I222" s="5" t="s">
        <v>12</v>
      </c>
      <c r="J222" s="5" t="str">
        <f>INDEX('Brown tagset'!$B:$B,MATCH(IF(ISERROR(FIND("-",I222)),IF(ISERROR(FIND("+",I222)),I222,LEFT(I222,FIND("+",I222)-1)),LEFT(I222,FIND("-",I222)-1)),'Brown tagset'!$A:$A,0))</f>
        <v>singular or mass noun</v>
      </c>
      <c r="K222" s="5" t="s">
        <v>13</v>
      </c>
      <c r="L222" s="5" t="str">
        <f>INDEX('Brown-Universal mapping'!$B:$B,MATCH(I222,'Brown-Universal mapping'!$A:$A,0))</f>
        <v>NOUN</v>
      </c>
      <c r="M222" s="5">
        <f t="shared" si="33"/>
        <v>1</v>
      </c>
      <c r="N222" s="5">
        <f t="shared" si="34"/>
        <v>1</v>
      </c>
      <c r="P222" s="12" t="s">
        <v>199</v>
      </c>
      <c r="Q222" s="7" t="s">
        <v>289</v>
      </c>
      <c r="R222" s="7" t="str">
        <f>INDEX('Brown tagset'!$B:$B,MATCH(IF(ISERROR(FIND("-",Q222)),IF(ISERROR(FIND("+",Q222)),Q222,LEFT(Q222,FIND("+",Q222)-1)),LEFT(Q222,FIND("-",Q222)-1)),'Brown tagset'!$A:$A,0))</f>
        <v>singular or mass noun</v>
      </c>
      <c r="S222" s="7"/>
      <c r="T222" s="7" t="str">
        <f>INDEX('Brown-Universal mapping'!$B:$B,MATCH(Q222,'Brown-Universal mapping'!$A:$A,0))</f>
        <v>NOUN</v>
      </c>
      <c r="U222" s="7">
        <f t="shared" si="35"/>
        <v>1</v>
      </c>
      <c r="V222" s="7">
        <f t="shared" si="36"/>
        <v>1</v>
      </c>
      <c r="X222" s="12" t="s">
        <v>199</v>
      </c>
      <c r="Y222" s="7" t="s">
        <v>289</v>
      </c>
      <c r="Z222" s="7" t="str">
        <f>INDEX('Brown tagset'!$B:$B,MATCH(IF(ISERROR(FIND("-",Y222)),IF(ISERROR(FIND("+",Y222)),Y222,LEFT(Y222,FIND("+",Y222)-1)),LEFT(Y222,FIND("-",Y222)-1)),'Brown tagset'!$A:$A,0))</f>
        <v>singular or mass noun</v>
      </c>
      <c r="AA222" s="7"/>
      <c r="AB222" s="7" t="str">
        <f>INDEX('Brown-Universal mapping'!$B:$B,MATCH(Y222,'Brown-Universal mapping'!$A:$A,0))</f>
        <v>NOUN</v>
      </c>
      <c r="AC222" s="7">
        <f t="shared" si="39"/>
        <v>1</v>
      </c>
      <c r="AD222" s="7">
        <f t="shared" si="40"/>
        <v>1</v>
      </c>
      <c r="AF222" s="9" t="s">
        <v>12</v>
      </c>
      <c r="AG222" s="9" t="str">
        <f>INDEX('Brown tagset'!$B:$B,MATCH(IF(ISERROR(FIND("-",AF222)),IF(ISERROR(FIND("+",AF222)),AF222,LEFT(AF222,FIND("+",AF222)-1)),LEFT(AF222,FIND("-",AF222)-1)),'Brown tagset'!$A:$A,0))</f>
        <v>singular or mass noun</v>
      </c>
      <c r="AH222" s="9" t="s">
        <v>13</v>
      </c>
      <c r="AI222" s="9" t="str">
        <f>INDEX('Brown-Universal mapping'!$B:$B,MATCH(AF222,'Brown-Universal mapping'!$A:$A,0))</f>
        <v>NOUN</v>
      </c>
      <c r="AJ222" s="9">
        <f t="shared" si="37"/>
        <v>1</v>
      </c>
      <c r="AK222" s="9">
        <f t="shared" si="38"/>
        <v>1</v>
      </c>
      <c r="AM222" s="6">
        <f t="shared" si="41"/>
        <v>3</v>
      </c>
      <c r="AN222" s="6">
        <f t="shared" si="42"/>
        <v>3</v>
      </c>
      <c r="AP222" s="6" t="str">
        <f t="shared" si="43"/>
        <v>singular or mass noun3</v>
      </c>
    </row>
    <row r="223" spans="1:42" x14ac:dyDescent="0.25">
      <c r="A223" s="4" t="s">
        <v>200</v>
      </c>
      <c r="B223" s="29">
        <v>1</v>
      </c>
      <c r="C223" s="4">
        <v>1</v>
      </c>
      <c r="D223" s="3" t="s">
        <v>1</v>
      </c>
      <c r="E223" s="3" t="str">
        <f>INDEX('Brown tagset'!$B:$B,MATCH(IF(ISERROR(FIND("-",D223)),IF(ISERROR(FIND("+",D223)),D223,LEFT(D223,FIND("+",D223)-1)),LEFT(D223,FIND("-",D223)-1)),'Brown tagset'!$A:$A,0))</f>
        <v>qualifier (very, fairly)</v>
      </c>
      <c r="F223" s="3"/>
      <c r="G223" s="3" t="str">
        <f>INDEX('Brown-Universal mapping'!$B:$B,MATCH(D223,'Brown-Universal mapping'!$A:$A,0))</f>
        <v>ADV</v>
      </c>
      <c r="I223" s="5" t="s">
        <v>1</v>
      </c>
      <c r="J223" s="5" t="str">
        <f>INDEX('Brown tagset'!$B:$B,MATCH(IF(ISERROR(FIND("-",I223)),IF(ISERROR(FIND("+",I223)),I223,LEFT(I223,FIND("+",I223)-1)),LEFT(I223,FIND("-",I223)-1)),'Brown tagset'!$A:$A,0))</f>
        <v>qualifier (very, fairly)</v>
      </c>
      <c r="K223" s="5" t="s">
        <v>2</v>
      </c>
      <c r="L223" s="5" t="str">
        <f>INDEX('Brown-Universal mapping'!$B:$B,MATCH(I223,'Brown-Universal mapping'!$A:$A,0))</f>
        <v>ADV</v>
      </c>
      <c r="M223" s="5">
        <f t="shared" si="33"/>
        <v>1</v>
      </c>
      <c r="N223" s="5">
        <f t="shared" si="34"/>
        <v>1</v>
      </c>
      <c r="P223" s="12" t="s">
        <v>200</v>
      </c>
      <c r="Q223" s="7" t="s">
        <v>299</v>
      </c>
      <c r="R223" s="7" t="str">
        <f>INDEX('Brown tagset'!$B:$B,MATCH(IF(ISERROR(FIND("-",Q223)),IF(ISERROR(FIND("+",Q223)),Q223,LEFT(Q223,FIND("+",Q223)-1)),LEFT(Q223,FIND("-",Q223)-1)),'Brown tagset'!$A:$A,0))</f>
        <v>adjective</v>
      </c>
      <c r="S223" s="7"/>
      <c r="T223" s="7" t="str">
        <f>INDEX('Brown-Universal mapping'!$B:$B,MATCH(Q223,'Brown-Universal mapping'!$A:$A,0))</f>
        <v>ADJ</v>
      </c>
      <c r="U223" s="7">
        <f t="shared" si="35"/>
        <v>0</v>
      </c>
      <c r="V223" s="7">
        <f t="shared" si="36"/>
        <v>0</v>
      </c>
      <c r="X223" s="12" t="s">
        <v>200</v>
      </c>
      <c r="Y223" s="7" t="s">
        <v>289</v>
      </c>
      <c r="Z223" s="7" t="str">
        <f>INDEX('Brown tagset'!$B:$B,MATCH(IF(ISERROR(FIND("-",Y223)),IF(ISERROR(FIND("+",Y223)),Y223,LEFT(Y223,FIND("+",Y223)-1)),LEFT(Y223,FIND("-",Y223)-1)),'Brown tagset'!$A:$A,0))</f>
        <v>singular or mass noun</v>
      </c>
      <c r="AA223" s="7"/>
      <c r="AB223" s="7" t="str">
        <f>INDEX('Brown-Universal mapping'!$B:$B,MATCH(Y223,'Brown-Universal mapping'!$A:$A,0))</f>
        <v>NOUN</v>
      </c>
      <c r="AC223" s="7">
        <f t="shared" si="39"/>
        <v>0</v>
      </c>
      <c r="AD223" s="7">
        <f t="shared" si="40"/>
        <v>0</v>
      </c>
      <c r="AF223" s="9" t="s">
        <v>12</v>
      </c>
      <c r="AG223" s="9" t="str">
        <f>INDEX('Brown tagset'!$B:$B,MATCH(IF(ISERROR(FIND("-",AF223)),IF(ISERROR(FIND("+",AF223)),AF223,LEFT(AF223,FIND("+",AF223)-1)),LEFT(AF223,FIND("-",AF223)-1)),'Brown tagset'!$A:$A,0))</f>
        <v>singular or mass noun</v>
      </c>
      <c r="AH223" s="9" t="s">
        <v>13</v>
      </c>
      <c r="AI223" s="9" t="str">
        <f>INDEX('Brown-Universal mapping'!$B:$B,MATCH(AF223,'Brown-Universal mapping'!$A:$A,0))</f>
        <v>NOUN</v>
      </c>
      <c r="AJ223" s="9">
        <f t="shared" si="37"/>
        <v>0</v>
      </c>
      <c r="AK223" s="9">
        <f t="shared" si="38"/>
        <v>0</v>
      </c>
      <c r="AM223" s="6">
        <f t="shared" si="41"/>
        <v>1</v>
      </c>
      <c r="AN223" s="6">
        <f t="shared" si="42"/>
        <v>1</v>
      </c>
      <c r="AP223" s="6" t="str">
        <f t="shared" si="43"/>
        <v>singular or mass noun1</v>
      </c>
    </row>
    <row r="224" spans="1:42" x14ac:dyDescent="0.25">
      <c r="A224" s="29" t="s">
        <v>201</v>
      </c>
      <c r="B224" s="29"/>
      <c r="D224" s="3" t="s">
        <v>161</v>
      </c>
      <c r="E224" s="3" t="str">
        <f>INDEX('Brown tagset'!$B:$B,MATCH(IF(ISERROR(FIND("-",D224)),IF(ISERROR(FIND("+",D224)),D224,LEFT(D224,FIND("+",D224)-1)),LEFT(D224,FIND("-",D224)-1)),'Brown tagset'!$A:$A,0))</f>
        <v>adverb/particle (about, off, up)</v>
      </c>
      <c r="F224" s="3"/>
      <c r="G224" s="3" t="str">
        <f>INDEX('Brown-Universal mapping'!$B:$B,MATCH(D224,'Brown-Universal mapping'!$A:$A,0))</f>
        <v>PRT</v>
      </c>
      <c r="I224" s="5" t="s">
        <v>161</v>
      </c>
      <c r="J224" s="5" t="str">
        <f>INDEX('Brown tagset'!$B:$B,MATCH(IF(ISERROR(FIND("-",I224)),IF(ISERROR(FIND("+",I224)),I224,LEFT(I224,FIND("+",I224)-1)),LEFT(I224,FIND("-",I224)-1)),'Brown tagset'!$A:$A,0))</f>
        <v>adverb/particle (about, off, up)</v>
      </c>
      <c r="K224" s="5" t="s">
        <v>18</v>
      </c>
      <c r="L224" s="5" t="str">
        <f>INDEX('Brown-Universal mapping'!$B:$B,MATCH(I224,'Brown-Universal mapping'!$A:$A,0))</f>
        <v>PRT</v>
      </c>
      <c r="M224" s="5">
        <f t="shared" si="33"/>
        <v>1</v>
      </c>
      <c r="N224" s="5">
        <f t="shared" si="34"/>
        <v>1</v>
      </c>
      <c r="P224" s="12" t="s">
        <v>201</v>
      </c>
      <c r="Q224" s="7" t="s">
        <v>124</v>
      </c>
      <c r="R224" s="7" t="str">
        <f>INDEX('Brown tagset'!$B:$B,MATCH(IF(ISERROR(FIND("-",Q224)),IF(ISERROR(FIND("+",Q224)),Q224,LEFT(Q224,FIND("+",Q224)-1)),LEFT(Q224,FIND("-",Q224)-1)),'Brown tagset'!$A:$A,0))</f>
        <v>preposition</v>
      </c>
      <c r="S224" s="7"/>
      <c r="T224" s="7" t="str">
        <f>INDEX('Brown-Universal mapping'!$B:$B,MATCH(Q224,'Brown-Universal mapping'!$A:$A,0))</f>
        <v>ADP</v>
      </c>
      <c r="U224" s="7">
        <f t="shared" si="35"/>
        <v>0</v>
      </c>
      <c r="V224" s="7">
        <f t="shared" si="36"/>
        <v>0</v>
      </c>
      <c r="X224" s="12" t="s">
        <v>201</v>
      </c>
      <c r="Y224" s="7" t="s">
        <v>857</v>
      </c>
      <c r="Z224" s="7" t="str">
        <f>INDEX('Brown tagset'!$B:$B,MATCH(IF(ISERROR(FIND("-",Y224)),IF(ISERROR(FIND("+",Y224)),Y224,LEFT(Y224,FIND("+",Y224)-1)),LEFT(Y224,FIND("-",Y224)-1)),'Brown tagset'!$A:$A,0))</f>
        <v>adverb/particle (about, off, up)</v>
      </c>
      <c r="AA224" s="7"/>
      <c r="AB224" s="7" t="str">
        <f>INDEX('Brown-Universal mapping'!$B:$B,MATCH(Y224,'Brown-Universal mapping'!$A:$A,0))</f>
        <v>PRT</v>
      </c>
      <c r="AC224" s="7">
        <f t="shared" si="39"/>
        <v>1</v>
      </c>
      <c r="AD224" s="7">
        <f t="shared" si="40"/>
        <v>1</v>
      </c>
      <c r="AF224" s="9" t="s">
        <v>161</v>
      </c>
      <c r="AG224" s="9" t="str">
        <f>INDEX('Brown tagset'!$B:$B,MATCH(IF(ISERROR(FIND("-",AF224)),IF(ISERROR(FIND("+",AF224)),AF224,LEFT(AF224,FIND("+",AF224)-1)),LEFT(AF224,FIND("-",AF224)-1)),'Brown tagset'!$A:$A,0))</f>
        <v>adverb/particle (about, off, up)</v>
      </c>
      <c r="AH224" s="9" t="s">
        <v>18</v>
      </c>
      <c r="AI224" s="9" t="str">
        <f>INDEX('Brown-Universal mapping'!$B:$B,MATCH(AF224,'Brown-Universal mapping'!$A:$A,0))</f>
        <v>PRT</v>
      </c>
      <c r="AJ224" s="9">
        <f t="shared" si="37"/>
        <v>1</v>
      </c>
      <c r="AK224" s="9">
        <f t="shared" si="38"/>
        <v>1</v>
      </c>
      <c r="AM224" s="6">
        <f t="shared" si="41"/>
        <v>3</v>
      </c>
      <c r="AN224" s="6">
        <f t="shared" si="42"/>
        <v>3</v>
      </c>
      <c r="AP224" s="6" t="str">
        <f t="shared" si="43"/>
        <v>adverb/particle (about, off, up)3</v>
      </c>
    </row>
    <row r="225" spans="1:42" x14ac:dyDescent="0.25">
      <c r="A225" s="29" t="s">
        <v>16</v>
      </c>
      <c r="B225" s="29"/>
      <c r="D225" s="3" t="s">
        <v>59</v>
      </c>
      <c r="E225" s="3" t="str">
        <f>INDEX('Brown tagset'!$B:$B,MATCH(IF(ISERROR(FIND("-",D225)),IF(ISERROR(FIND("+",D225)),D225,LEFT(D225,FIND("+",D225)-1)),LEFT(D225,FIND("-",D225)-1)),'Brown tagset'!$A:$A,0))</f>
        <v>preposition</v>
      </c>
      <c r="F225" s="3"/>
      <c r="G225" s="3" t="str">
        <f>INDEX('Brown-Universal mapping'!$B:$B,MATCH(D225,'Brown-Universal mapping'!$A:$A,0))</f>
        <v>ADP</v>
      </c>
      <c r="I225" s="5" t="s">
        <v>59</v>
      </c>
      <c r="J225" s="5" t="str">
        <f>INDEX('Brown tagset'!$B:$B,MATCH(IF(ISERROR(FIND("-",I225)),IF(ISERROR(FIND("+",I225)),I225,LEFT(I225,FIND("+",I225)-1)),LEFT(I225,FIND("-",I225)-1)),'Brown tagset'!$A:$A,0))</f>
        <v>preposition</v>
      </c>
      <c r="K225" s="5" t="s">
        <v>60</v>
      </c>
      <c r="L225" s="5" t="str">
        <f>INDEX('Brown-Universal mapping'!$B:$B,MATCH(I225,'Brown-Universal mapping'!$A:$A,0))</f>
        <v>ADP</v>
      </c>
      <c r="M225" s="5">
        <f t="shared" si="33"/>
        <v>1</v>
      </c>
      <c r="N225" s="5">
        <f t="shared" si="34"/>
        <v>1</v>
      </c>
      <c r="P225" s="12" t="s">
        <v>16</v>
      </c>
      <c r="Q225" s="7" t="s">
        <v>124</v>
      </c>
      <c r="R225" s="7" t="str">
        <f>INDEX('Brown tagset'!$B:$B,MATCH(IF(ISERROR(FIND("-",Q225)),IF(ISERROR(FIND("+",Q225)),Q225,LEFT(Q225,FIND("+",Q225)-1)),LEFT(Q225,FIND("-",Q225)-1)),'Brown tagset'!$A:$A,0))</f>
        <v>preposition</v>
      </c>
      <c r="S225" s="7"/>
      <c r="T225" s="7" t="str">
        <f>INDEX('Brown-Universal mapping'!$B:$B,MATCH(Q225,'Brown-Universal mapping'!$A:$A,0))</f>
        <v>ADP</v>
      </c>
      <c r="U225" s="7">
        <f t="shared" si="35"/>
        <v>1</v>
      </c>
      <c r="V225" s="7">
        <f t="shared" si="36"/>
        <v>1</v>
      </c>
      <c r="X225" s="12" t="s">
        <v>16</v>
      </c>
      <c r="Y225" s="7" t="s">
        <v>124</v>
      </c>
      <c r="Z225" s="7" t="str">
        <f>INDEX('Brown tagset'!$B:$B,MATCH(IF(ISERROR(FIND("-",Y225)),IF(ISERROR(FIND("+",Y225)),Y225,LEFT(Y225,FIND("+",Y225)-1)),LEFT(Y225,FIND("-",Y225)-1)),'Brown tagset'!$A:$A,0))</f>
        <v>preposition</v>
      </c>
      <c r="AA225" s="7"/>
      <c r="AB225" s="7" t="str">
        <f>INDEX('Brown-Universal mapping'!$B:$B,MATCH(Y225,'Brown-Universal mapping'!$A:$A,0))</f>
        <v>ADP</v>
      </c>
      <c r="AC225" s="7">
        <f t="shared" si="39"/>
        <v>1</v>
      </c>
      <c r="AD225" s="7">
        <f t="shared" si="40"/>
        <v>1</v>
      </c>
      <c r="AF225" s="9" t="s">
        <v>59</v>
      </c>
      <c r="AG225" s="9" t="str">
        <f>INDEX('Brown tagset'!$B:$B,MATCH(IF(ISERROR(FIND("-",AF225)),IF(ISERROR(FIND("+",AF225)),AF225,LEFT(AF225,FIND("+",AF225)-1)),LEFT(AF225,FIND("-",AF225)-1)),'Brown tagset'!$A:$A,0))</f>
        <v>preposition</v>
      </c>
      <c r="AH225" s="9" t="s">
        <v>60</v>
      </c>
      <c r="AI225" s="9" t="str">
        <f>INDEX('Brown-Universal mapping'!$B:$B,MATCH(AF225,'Brown-Universal mapping'!$A:$A,0))</f>
        <v>ADP</v>
      </c>
      <c r="AJ225" s="9">
        <f t="shared" si="37"/>
        <v>1</v>
      </c>
      <c r="AK225" s="9">
        <f t="shared" si="38"/>
        <v>1</v>
      </c>
      <c r="AM225" s="6">
        <f t="shared" si="41"/>
        <v>3</v>
      </c>
      <c r="AN225" s="6">
        <f t="shared" si="42"/>
        <v>3</v>
      </c>
      <c r="AP225" s="6" t="str">
        <f t="shared" si="43"/>
        <v>preposition3</v>
      </c>
    </row>
    <row r="226" spans="1:42" x14ac:dyDescent="0.25">
      <c r="A226" s="29" t="s">
        <v>90</v>
      </c>
      <c r="B226" s="29"/>
      <c r="D226" s="3" t="s">
        <v>7</v>
      </c>
      <c r="E226" s="3" t="str">
        <f>INDEX('Brown tagset'!$B:$B,MATCH(IF(ISERROR(FIND("-",D226)),IF(ISERROR(FIND("+",D226)),D226,LEFT(D226,FIND("+",D226)-1)),LEFT(D226,FIND("-",D226)-1)),'Brown tagset'!$A:$A,0))</f>
        <v>article (a, the, no)</v>
      </c>
      <c r="F226" s="3"/>
      <c r="G226" s="3" t="str">
        <f>INDEX('Brown-Universal mapping'!$B:$B,MATCH(D226,'Brown-Universal mapping'!$A:$A,0))</f>
        <v>DET</v>
      </c>
      <c r="I226" s="5" t="s">
        <v>7</v>
      </c>
      <c r="J226" s="5" t="str">
        <f>INDEX('Brown tagset'!$B:$B,MATCH(IF(ISERROR(FIND("-",I226)),IF(ISERROR(FIND("+",I226)),I226,LEFT(I226,FIND("+",I226)-1)),LEFT(I226,FIND("-",I226)-1)),'Brown tagset'!$A:$A,0))</f>
        <v>article (a, the, no)</v>
      </c>
      <c r="K226" s="5" t="s">
        <v>2</v>
      </c>
      <c r="L226" s="5" t="str">
        <f>INDEX('Brown-Universal mapping'!$B:$B,MATCH(I226,'Brown-Universal mapping'!$A:$A,0))</f>
        <v>DET</v>
      </c>
      <c r="M226" s="5">
        <f t="shared" si="33"/>
        <v>1</v>
      </c>
      <c r="N226" s="5">
        <f t="shared" si="34"/>
        <v>1</v>
      </c>
      <c r="P226" s="12" t="s">
        <v>90</v>
      </c>
      <c r="Q226" s="7" t="s">
        <v>89</v>
      </c>
      <c r="R226" s="7" t="str">
        <f>INDEX('Brown tagset'!$B:$B,MATCH(IF(ISERROR(FIND("-",Q226)),IF(ISERROR(FIND("+",Q226)),Q226,LEFT(Q226,FIND("+",Q226)-1)),LEFT(Q226,FIND("-",Q226)-1)),'Brown tagset'!$A:$A,0))</f>
        <v>article (a, the, no)</v>
      </c>
      <c r="S226" s="7"/>
      <c r="T226" s="7" t="str">
        <f>INDEX('Brown-Universal mapping'!$B:$B,MATCH(Q226,'Brown-Universal mapping'!$A:$A,0))</f>
        <v>DET</v>
      </c>
      <c r="U226" s="7">
        <f t="shared" si="35"/>
        <v>1</v>
      </c>
      <c r="V226" s="7">
        <f t="shared" si="36"/>
        <v>1</v>
      </c>
      <c r="X226" s="12" t="s">
        <v>90</v>
      </c>
      <c r="Y226" s="7" t="s">
        <v>89</v>
      </c>
      <c r="Z226" s="7" t="str">
        <f>INDEX('Brown tagset'!$B:$B,MATCH(IF(ISERROR(FIND("-",Y226)),IF(ISERROR(FIND("+",Y226)),Y226,LEFT(Y226,FIND("+",Y226)-1)),LEFT(Y226,FIND("-",Y226)-1)),'Brown tagset'!$A:$A,0))</f>
        <v>article (a, the, no)</v>
      </c>
      <c r="AA226" s="7"/>
      <c r="AB226" s="7" t="str">
        <f>INDEX('Brown-Universal mapping'!$B:$B,MATCH(Y226,'Brown-Universal mapping'!$A:$A,0))</f>
        <v>DET</v>
      </c>
      <c r="AC226" s="7">
        <f t="shared" si="39"/>
        <v>1</v>
      </c>
      <c r="AD226" s="7">
        <f t="shared" si="40"/>
        <v>1</v>
      </c>
      <c r="AF226" s="9" t="s">
        <v>7</v>
      </c>
      <c r="AG226" s="9" t="str">
        <f>INDEX('Brown tagset'!$B:$B,MATCH(IF(ISERROR(FIND("-",AF226)),IF(ISERROR(FIND("+",AF226)),AF226,LEFT(AF226,FIND("+",AF226)-1)),LEFT(AF226,FIND("-",AF226)-1)),'Brown tagset'!$A:$A,0))</f>
        <v>article (a, the, no)</v>
      </c>
      <c r="AH226" s="9" t="s">
        <v>2</v>
      </c>
      <c r="AI226" s="9" t="str">
        <f>INDEX('Brown-Universal mapping'!$B:$B,MATCH(AF226,'Brown-Universal mapping'!$A:$A,0))</f>
        <v>DET</v>
      </c>
      <c r="AJ226" s="9">
        <f t="shared" si="37"/>
        <v>1</v>
      </c>
      <c r="AK226" s="9">
        <f t="shared" si="38"/>
        <v>1</v>
      </c>
      <c r="AM226" s="6">
        <f t="shared" si="41"/>
        <v>3</v>
      </c>
      <c r="AN226" s="6">
        <f t="shared" si="42"/>
        <v>3</v>
      </c>
      <c r="AP226" s="6" t="str">
        <f t="shared" si="43"/>
        <v>article (a, the, no)3</v>
      </c>
    </row>
    <row r="227" spans="1:42" x14ac:dyDescent="0.25">
      <c r="A227" s="28" t="s">
        <v>202</v>
      </c>
      <c r="B227" s="28"/>
      <c r="D227" s="3" t="s">
        <v>194</v>
      </c>
      <c r="E227" s="3" t="str">
        <f>INDEX('Brown tagset'!$B:$B,MATCH(IF(ISERROR(FIND("-",D227)),IF(ISERROR(FIND("+",D227)),D227,LEFT(D227,FIND("+",D227)-1)),LEFT(D227,FIND("-",D227)-1)),'Brown tagset'!$A:$A,0))</f>
        <v>foreign word (hyphenated before regular tag)</v>
      </c>
      <c r="F227" s="3"/>
      <c r="G227" s="3" t="str">
        <f>INDEX('Brown-Universal mapping'!$B:$B,MATCH(D227,'Brown-Universal mapping'!$A:$A,0))</f>
        <v>X</v>
      </c>
      <c r="I227" s="5" t="s">
        <v>12</v>
      </c>
      <c r="J227" s="5" t="str">
        <f>INDEX('Brown tagset'!$B:$B,MATCH(IF(ISERROR(FIND("-",I227)),IF(ISERROR(FIND("+",I227)),I227,LEFT(I227,FIND("+",I227)-1)),LEFT(I227,FIND("-",I227)-1)),'Brown tagset'!$A:$A,0))</f>
        <v>singular or mass noun</v>
      </c>
      <c r="K227" s="5" t="s">
        <v>13</v>
      </c>
      <c r="L227" s="5" t="str">
        <f>INDEX('Brown-Universal mapping'!$B:$B,MATCH(I227,'Brown-Universal mapping'!$A:$A,0))</f>
        <v>NOUN</v>
      </c>
      <c r="M227" s="5">
        <f t="shared" si="33"/>
        <v>0</v>
      </c>
      <c r="N227" s="5">
        <f t="shared" si="34"/>
        <v>0</v>
      </c>
      <c r="P227" s="12" t="s">
        <v>202</v>
      </c>
      <c r="Q227" s="7" t="s">
        <v>289</v>
      </c>
      <c r="R227" s="7" t="str">
        <f>INDEX('Brown tagset'!$B:$B,MATCH(IF(ISERROR(FIND("-",Q227)),IF(ISERROR(FIND("+",Q227)),Q227,LEFT(Q227,FIND("+",Q227)-1)),LEFT(Q227,FIND("-",Q227)-1)),'Brown tagset'!$A:$A,0))</f>
        <v>singular or mass noun</v>
      </c>
      <c r="S227" s="7"/>
      <c r="T227" s="7" t="str">
        <f>INDEX('Brown-Universal mapping'!$B:$B,MATCH(Q227,'Brown-Universal mapping'!$A:$A,0))</f>
        <v>NOUN</v>
      </c>
      <c r="U227" s="7">
        <f t="shared" si="35"/>
        <v>0</v>
      </c>
      <c r="V227" s="7">
        <f t="shared" si="36"/>
        <v>0</v>
      </c>
      <c r="X227" s="12" t="s">
        <v>202</v>
      </c>
      <c r="Y227" s="7" t="s">
        <v>289</v>
      </c>
      <c r="Z227" s="7" t="str">
        <f>INDEX('Brown tagset'!$B:$B,MATCH(IF(ISERROR(FIND("-",Y227)),IF(ISERROR(FIND("+",Y227)),Y227,LEFT(Y227,FIND("+",Y227)-1)),LEFT(Y227,FIND("-",Y227)-1)),'Brown tagset'!$A:$A,0))</f>
        <v>singular or mass noun</v>
      </c>
      <c r="AA227" s="7"/>
      <c r="AB227" s="7" t="str">
        <f>INDEX('Brown-Universal mapping'!$B:$B,MATCH(Y227,'Brown-Universal mapping'!$A:$A,0))</f>
        <v>NOUN</v>
      </c>
      <c r="AC227" s="7">
        <f t="shared" si="39"/>
        <v>0</v>
      </c>
      <c r="AD227" s="7">
        <f t="shared" si="40"/>
        <v>0</v>
      </c>
      <c r="AF227" s="9" t="s">
        <v>340</v>
      </c>
      <c r="AG227" s="9" t="str">
        <f>INDEX('Brown tagset'!$B:$B,MATCH(IF(ISERROR(FIND("-",AF227)),IF(ISERROR(FIND("+",AF227)),AF227,LEFT(AF227,FIND("+",AF227)-1)),LEFT(AF227,FIND("-",AF227)-1)),'Brown tagset'!$A:$A,0))</f>
        <v>unknown</v>
      </c>
      <c r="AH227" s="9" t="s">
        <v>2</v>
      </c>
      <c r="AI227" s="9" t="str">
        <f>INDEX('Brown-Universal mapping'!$B:$B,MATCH(AF227,'Brown-Universal mapping'!$A:$A,0))</f>
        <v>Unknown</v>
      </c>
      <c r="AJ227" s="9">
        <f t="shared" si="37"/>
        <v>0</v>
      </c>
      <c r="AK227" s="9">
        <f t="shared" si="38"/>
        <v>0</v>
      </c>
      <c r="AM227" s="6">
        <f t="shared" si="41"/>
        <v>0</v>
      </c>
      <c r="AN227" s="6">
        <f t="shared" si="42"/>
        <v>0</v>
      </c>
      <c r="AP227" s="6" t="str">
        <f t="shared" si="43"/>
        <v>unknown0</v>
      </c>
    </row>
    <row r="228" spans="1:42" x14ac:dyDescent="0.25">
      <c r="A228" s="28" t="s">
        <v>203</v>
      </c>
      <c r="B228" s="28"/>
      <c r="D228" s="3" t="s">
        <v>204</v>
      </c>
      <c r="E228" s="3" t="str">
        <f>INDEX('Brown tagset'!$B:$B,MATCH(IF(ISERROR(FIND("-",D228)),IF(ISERROR(FIND("+",D228)),D228,LEFT(D228,FIND("+",D228)-1)),LEFT(D228,FIND("-",D228)-1)),'Brown tagset'!$A:$A,0))</f>
        <v>foreign word (hyphenated before regular tag)</v>
      </c>
      <c r="F228" s="3"/>
      <c r="G228" s="3" t="str">
        <f>INDEX('Brown-Universal mapping'!$B:$B,MATCH(D228,'Brown-Universal mapping'!$A:$A,0))</f>
        <v>X</v>
      </c>
      <c r="I228" s="5" t="s">
        <v>12</v>
      </c>
      <c r="J228" s="5" t="str">
        <f>INDEX('Brown tagset'!$B:$B,MATCH(IF(ISERROR(FIND("-",I228)),IF(ISERROR(FIND("+",I228)),I228,LEFT(I228,FIND("+",I228)-1)),LEFT(I228,FIND("-",I228)-1)),'Brown tagset'!$A:$A,0))</f>
        <v>singular or mass noun</v>
      </c>
      <c r="K228" s="5" t="s">
        <v>13</v>
      </c>
      <c r="L228" s="5" t="str">
        <f>INDEX('Brown-Universal mapping'!$B:$B,MATCH(I228,'Brown-Universal mapping'!$A:$A,0))</f>
        <v>NOUN</v>
      </c>
      <c r="M228" s="5">
        <f t="shared" si="33"/>
        <v>0</v>
      </c>
      <c r="N228" s="5">
        <f t="shared" si="34"/>
        <v>0</v>
      </c>
      <c r="P228" s="12" t="s">
        <v>203</v>
      </c>
      <c r="Q228" s="7" t="s">
        <v>289</v>
      </c>
      <c r="R228" s="7" t="str">
        <f>INDEX('Brown tagset'!$B:$B,MATCH(IF(ISERROR(FIND("-",Q228)),IF(ISERROR(FIND("+",Q228)),Q228,LEFT(Q228,FIND("+",Q228)-1)),LEFT(Q228,FIND("-",Q228)-1)),'Brown tagset'!$A:$A,0))</f>
        <v>singular or mass noun</v>
      </c>
      <c r="S228" s="7"/>
      <c r="T228" s="7" t="str">
        <f>INDEX('Brown-Universal mapping'!$B:$B,MATCH(Q228,'Brown-Universal mapping'!$A:$A,0))</f>
        <v>NOUN</v>
      </c>
      <c r="U228" s="7">
        <f t="shared" si="35"/>
        <v>0</v>
      </c>
      <c r="V228" s="7">
        <f t="shared" si="36"/>
        <v>0</v>
      </c>
      <c r="X228" s="12" t="s">
        <v>203</v>
      </c>
      <c r="Y228" s="7" t="s">
        <v>295</v>
      </c>
      <c r="Z228" s="7" t="str">
        <f>INDEX('Brown tagset'!$B:$B,MATCH(IF(ISERROR(FIND("-",Y228)),IF(ISERROR(FIND("+",Y228)),Y228,LEFT(Y228,FIND("+",Y228)-1)),LEFT(Y228,FIND("-",Y228)-1)),'Brown tagset'!$A:$A,0))</f>
        <v>plural noun</v>
      </c>
      <c r="AA228" s="7"/>
      <c r="AB228" s="7" t="str">
        <f>INDEX('Brown-Universal mapping'!$B:$B,MATCH(Y228,'Brown-Universal mapping'!$A:$A,0))</f>
        <v>NOUN</v>
      </c>
      <c r="AC228" s="7">
        <f t="shared" si="39"/>
        <v>0</v>
      </c>
      <c r="AD228" s="7">
        <f t="shared" si="40"/>
        <v>0</v>
      </c>
      <c r="AF228" s="9" t="s">
        <v>340</v>
      </c>
      <c r="AG228" s="9" t="str">
        <f>INDEX('Brown tagset'!$B:$B,MATCH(IF(ISERROR(FIND("-",AF228)),IF(ISERROR(FIND("+",AF228)),AF228,LEFT(AF228,FIND("+",AF228)-1)),LEFT(AF228,FIND("-",AF228)-1)),'Brown tagset'!$A:$A,0))</f>
        <v>unknown</v>
      </c>
      <c r="AH228" s="9" t="s">
        <v>2</v>
      </c>
      <c r="AI228" s="9" t="str">
        <f>INDEX('Brown-Universal mapping'!$B:$B,MATCH(AF228,'Brown-Universal mapping'!$A:$A,0))</f>
        <v>Unknown</v>
      </c>
      <c r="AJ228" s="9">
        <f t="shared" si="37"/>
        <v>0</v>
      </c>
      <c r="AK228" s="9">
        <f t="shared" si="38"/>
        <v>0</v>
      </c>
      <c r="AM228" s="6">
        <f t="shared" si="41"/>
        <v>0</v>
      </c>
      <c r="AN228" s="6">
        <f t="shared" si="42"/>
        <v>0</v>
      </c>
      <c r="AP228" s="6" t="str">
        <f t="shared" si="43"/>
        <v>unknown0</v>
      </c>
    </row>
    <row r="229" spans="1:42" x14ac:dyDescent="0.25">
      <c r="A229" s="29" t="s">
        <v>81</v>
      </c>
      <c r="B229" s="29"/>
      <c r="D229" s="3" t="s">
        <v>59</v>
      </c>
      <c r="E229" s="3" t="str">
        <f>INDEX('Brown tagset'!$B:$B,MATCH(IF(ISERROR(FIND("-",D229)),IF(ISERROR(FIND("+",D229)),D229,LEFT(D229,FIND("+",D229)-1)),LEFT(D229,FIND("-",D229)-1)),'Brown tagset'!$A:$A,0))</f>
        <v>preposition</v>
      </c>
      <c r="F229" s="3"/>
      <c r="G229" s="3" t="str">
        <f>INDEX('Brown-Universal mapping'!$B:$B,MATCH(D229,'Brown-Universal mapping'!$A:$A,0))</f>
        <v>ADP</v>
      </c>
      <c r="I229" s="5" t="s">
        <v>59</v>
      </c>
      <c r="J229" s="5" t="str">
        <f>INDEX('Brown tagset'!$B:$B,MATCH(IF(ISERROR(FIND("-",I229)),IF(ISERROR(FIND("+",I229)),I229,LEFT(I229,FIND("+",I229)-1)),LEFT(I229,FIND("-",I229)-1)),'Brown tagset'!$A:$A,0))</f>
        <v>preposition</v>
      </c>
      <c r="K229" s="5" t="s">
        <v>60</v>
      </c>
      <c r="L229" s="5" t="str">
        <f>INDEX('Brown-Universal mapping'!$B:$B,MATCH(I229,'Brown-Universal mapping'!$A:$A,0))</f>
        <v>ADP</v>
      </c>
      <c r="M229" s="5">
        <f t="shared" si="33"/>
        <v>1</v>
      </c>
      <c r="N229" s="5">
        <f t="shared" si="34"/>
        <v>1</v>
      </c>
      <c r="P229" s="12" t="s">
        <v>81</v>
      </c>
      <c r="Q229" s="7" t="s">
        <v>124</v>
      </c>
      <c r="R229" s="7" t="str">
        <f>INDEX('Brown tagset'!$B:$B,MATCH(IF(ISERROR(FIND("-",Q229)),IF(ISERROR(FIND("+",Q229)),Q229,LEFT(Q229,FIND("+",Q229)-1)),LEFT(Q229,FIND("-",Q229)-1)),'Brown tagset'!$A:$A,0))</f>
        <v>preposition</v>
      </c>
      <c r="S229" s="7"/>
      <c r="T229" s="7" t="str">
        <f>INDEX('Brown-Universal mapping'!$B:$B,MATCH(Q229,'Brown-Universal mapping'!$A:$A,0))</f>
        <v>ADP</v>
      </c>
      <c r="U229" s="7">
        <f t="shared" si="35"/>
        <v>1</v>
      </c>
      <c r="V229" s="7">
        <f t="shared" si="36"/>
        <v>1</v>
      </c>
      <c r="X229" s="12" t="s">
        <v>81</v>
      </c>
      <c r="Y229" s="7" t="s">
        <v>124</v>
      </c>
      <c r="Z229" s="7" t="str">
        <f>INDEX('Brown tagset'!$B:$B,MATCH(IF(ISERROR(FIND("-",Y229)),IF(ISERROR(FIND("+",Y229)),Y229,LEFT(Y229,FIND("+",Y229)-1)),LEFT(Y229,FIND("-",Y229)-1)),'Brown tagset'!$A:$A,0))</f>
        <v>preposition</v>
      </c>
      <c r="AA229" s="7"/>
      <c r="AB229" s="7" t="str">
        <f>INDEX('Brown-Universal mapping'!$B:$B,MATCH(Y229,'Brown-Universal mapping'!$A:$A,0))</f>
        <v>ADP</v>
      </c>
      <c r="AC229" s="7">
        <f t="shared" si="39"/>
        <v>1</v>
      </c>
      <c r="AD229" s="7">
        <f t="shared" si="40"/>
        <v>1</v>
      </c>
      <c r="AF229" s="9" t="s">
        <v>59</v>
      </c>
      <c r="AG229" s="9" t="str">
        <f>INDEX('Brown tagset'!$B:$B,MATCH(IF(ISERROR(FIND("-",AF229)),IF(ISERROR(FIND("+",AF229)),AF229,LEFT(AF229,FIND("+",AF229)-1)),LEFT(AF229,FIND("-",AF229)-1)),'Brown tagset'!$A:$A,0))</f>
        <v>preposition</v>
      </c>
      <c r="AH229" s="9" t="s">
        <v>60</v>
      </c>
      <c r="AI229" s="9" t="str">
        <f>INDEX('Brown-Universal mapping'!$B:$B,MATCH(AF229,'Brown-Universal mapping'!$A:$A,0))</f>
        <v>ADP</v>
      </c>
      <c r="AJ229" s="9">
        <f t="shared" si="37"/>
        <v>1</v>
      </c>
      <c r="AK229" s="9">
        <f t="shared" si="38"/>
        <v>1</v>
      </c>
      <c r="AM229" s="6">
        <f t="shared" si="41"/>
        <v>3</v>
      </c>
      <c r="AN229" s="6">
        <f t="shared" si="42"/>
        <v>3</v>
      </c>
      <c r="AP229" s="6" t="str">
        <f t="shared" si="43"/>
        <v>preposition3</v>
      </c>
    </row>
    <row r="230" spans="1:42" x14ac:dyDescent="0.25">
      <c r="A230" s="29" t="s">
        <v>90</v>
      </c>
      <c r="B230" s="29"/>
      <c r="D230" s="3" t="s">
        <v>7</v>
      </c>
      <c r="E230" s="3" t="str">
        <f>INDEX('Brown tagset'!$B:$B,MATCH(IF(ISERROR(FIND("-",D230)),IF(ISERROR(FIND("+",D230)),D230,LEFT(D230,FIND("+",D230)-1)),LEFT(D230,FIND("-",D230)-1)),'Brown tagset'!$A:$A,0))</f>
        <v>article (a, the, no)</v>
      </c>
      <c r="F230" s="3"/>
      <c r="G230" s="3" t="str">
        <f>INDEX('Brown-Universal mapping'!$B:$B,MATCH(D230,'Brown-Universal mapping'!$A:$A,0))</f>
        <v>DET</v>
      </c>
      <c r="I230" s="5" t="s">
        <v>7</v>
      </c>
      <c r="J230" s="5" t="str">
        <f>INDEX('Brown tagset'!$B:$B,MATCH(IF(ISERROR(FIND("-",I230)),IF(ISERROR(FIND("+",I230)),I230,LEFT(I230,FIND("+",I230)-1)),LEFT(I230,FIND("-",I230)-1)),'Brown tagset'!$A:$A,0))</f>
        <v>article (a, the, no)</v>
      </c>
      <c r="K230" s="5" t="s">
        <v>2</v>
      </c>
      <c r="L230" s="5" t="str">
        <f>INDEX('Brown-Universal mapping'!$B:$B,MATCH(I230,'Brown-Universal mapping'!$A:$A,0))</f>
        <v>DET</v>
      </c>
      <c r="M230" s="5">
        <f t="shared" si="33"/>
        <v>1</v>
      </c>
      <c r="N230" s="5">
        <f t="shared" si="34"/>
        <v>1</v>
      </c>
      <c r="P230" s="12" t="s">
        <v>90</v>
      </c>
      <c r="Q230" s="7" t="s">
        <v>89</v>
      </c>
      <c r="R230" s="7" t="str">
        <f>INDEX('Brown tagset'!$B:$B,MATCH(IF(ISERROR(FIND("-",Q230)),IF(ISERROR(FIND("+",Q230)),Q230,LEFT(Q230,FIND("+",Q230)-1)),LEFT(Q230,FIND("-",Q230)-1)),'Brown tagset'!$A:$A,0))</f>
        <v>article (a, the, no)</v>
      </c>
      <c r="S230" s="7"/>
      <c r="T230" s="7" t="str">
        <f>INDEX('Brown-Universal mapping'!$B:$B,MATCH(Q230,'Brown-Universal mapping'!$A:$A,0))</f>
        <v>DET</v>
      </c>
      <c r="U230" s="7">
        <f t="shared" si="35"/>
        <v>1</v>
      </c>
      <c r="V230" s="7">
        <f t="shared" si="36"/>
        <v>1</v>
      </c>
      <c r="X230" s="12" t="s">
        <v>90</v>
      </c>
      <c r="Y230" s="7" t="s">
        <v>89</v>
      </c>
      <c r="Z230" s="7" t="str">
        <f>INDEX('Brown tagset'!$B:$B,MATCH(IF(ISERROR(FIND("-",Y230)),IF(ISERROR(FIND("+",Y230)),Y230,LEFT(Y230,FIND("+",Y230)-1)),LEFT(Y230,FIND("-",Y230)-1)),'Brown tagset'!$A:$A,0))</f>
        <v>article (a, the, no)</v>
      </c>
      <c r="AA230" s="7"/>
      <c r="AB230" s="7" t="str">
        <f>INDEX('Brown-Universal mapping'!$B:$B,MATCH(Y230,'Brown-Universal mapping'!$A:$A,0))</f>
        <v>DET</v>
      </c>
      <c r="AC230" s="7">
        <f t="shared" si="39"/>
        <v>1</v>
      </c>
      <c r="AD230" s="7">
        <f t="shared" si="40"/>
        <v>1</v>
      </c>
      <c r="AF230" s="9" t="s">
        <v>7</v>
      </c>
      <c r="AG230" s="9" t="str">
        <f>INDEX('Brown tagset'!$B:$B,MATCH(IF(ISERROR(FIND("-",AF230)),IF(ISERROR(FIND("+",AF230)),AF230,LEFT(AF230,FIND("+",AF230)-1)),LEFT(AF230,FIND("-",AF230)-1)),'Brown tagset'!$A:$A,0))</f>
        <v>article (a, the, no)</v>
      </c>
      <c r="AH230" s="9" t="s">
        <v>2</v>
      </c>
      <c r="AI230" s="9" t="str">
        <f>INDEX('Brown-Universal mapping'!$B:$B,MATCH(AF230,'Brown-Universal mapping'!$A:$A,0))</f>
        <v>DET</v>
      </c>
      <c r="AJ230" s="9">
        <f t="shared" si="37"/>
        <v>1</v>
      </c>
      <c r="AK230" s="9">
        <f t="shared" si="38"/>
        <v>1</v>
      </c>
      <c r="AM230" s="6">
        <f t="shared" si="41"/>
        <v>3</v>
      </c>
      <c r="AN230" s="6">
        <f t="shared" si="42"/>
        <v>3</v>
      </c>
      <c r="AP230" s="6" t="str">
        <f t="shared" si="43"/>
        <v>article (a, the, no)3</v>
      </c>
    </row>
    <row r="231" spans="1:42" x14ac:dyDescent="0.25">
      <c r="A231" s="29" t="s">
        <v>205</v>
      </c>
      <c r="B231" s="29"/>
      <c r="D231" s="3" t="s">
        <v>12</v>
      </c>
      <c r="E231" s="3" t="str">
        <f>INDEX('Brown tagset'!$B:$B,MATCH(IF(ISERROR(FIND("-",D231)),IF(ISERROR(FIND("+",D231)),D231,LEFT(D231,FIND("+",D231)-1)),LEFT(D231,FIND("-",D231)-1)),'Brown tagset'!$A:$A,0))</f>
        <v>singular or mass noun</v>
      </c>
      <c r="F231" s="3"/>
      <c r="G231" s="3" t="str">
        <f>INDEX('Brown-Universal mapping'!$B:$B,MATCH(D231,'Brown-Universal mapping'!$A:$A,0))</f>
        <v>NOUN</v>
      </c>
      <c r="I231" s="5" t="s">
        <v>12</v>
      </c>
      <c r="J231" s="5" t="str">
        <f>INDEX('Brown tagset'!$B:$B,MATCH(IF(ISERROR(FIND("-",I231)),IF(ISERROR(FIND("+",I231)),I231,LEFT(I231,FIND("+",I231)-1)),LEFT(I231,FIND("-",I231)-1)),'Brown tagset'!$A:$A,0))</f>
        <v>singular or mass noun</v>
      </c>
      <c r="K231" s="5" t="s">
        <v>13</v>
      </c>
      <c r="L231" s="5" t="str">
        <f>INDEX('Brown-Universal mapping'!$B:$B,MATCH(I231,'Brown-Universal mapping'!$A:$A,0))</f>
        <v>NOUN</v>
      </c>
      <c r="M231" s="5">
        <f t="shared" si="33"/>
        <v>1</v>
      </c>
      <c r="N231" s="5">
        <f t="shared" si="34"/>
        <v>1</v>
      </c>
      <c r="P231" s="12" t="s">
        <v>205</v>
      </c>
      <c r="Q231" s="7" t="s">
        <v>289</v>
      </c>
      <c r="R231" s="7" t="str">
        <f>INDEX('Brown tagset'!$B:$B,MATCH(IF(ISERROR(FIND("-",Q231)),IF(ISERROR(FIND("+",Q231)),Q231,LEFT(Q231,FIND("+",Q231)-1)),LEFT(Q231,FIND("-",Q231)-1)),'Brown tagset'!$A:$A,0))</f>
        <v>singular or mass noun</v>
      </c>
      <c r="S231" s="7"/>
      <c r="T231" s="7" t="str">
        <f>INDEX('Brown-Universal mapping'!$B:$B,MATCH(Q231,'Brown-Universal mapping'!$A:$A,0))</f>
        <v>NOUN</v>
      </c>
      <c r="U231" s="7">
        <f t="shared" si="35"/>
        <v>1</v>
      </c>
      <c r="V231" s="7">
        <f t="shared" si="36"/>
        <v>1</v>
      </c>
      <c r="X231" s="12" t="s">
        <v>205</v>
      </c>
      <c r="Y231" s="7" t="s">
        <v>289</v>
      </c>
      <c r="Z231" s="7" t="str">
        <f>INDEX('Brown tagset'!$B:$B,MATCH(IF(ISERROR(FIND("-",Y231)),IF(ISERROR(FIND("+",Y231)),Y231,LEFT(Y231,FIND("+",Y231)-1)),LEFT(Y231,FIND("-",Y231)-1)),'Brown tagset'!$A:$A,0))</f>
        <v>singular or mass noun</v>
      </c>
      <c r="AA231" s="7"/>
      <c r="AB231" s="7" t="str">
        <f>INDEX('Brown-Universal mapping'!$B:$B,MATCH(Y231,'Brown-Universal mapping'!$A:$A,0))</f>
        <v>NOUN</v>
      </c>
      <c r="AC231" s="7">
        <f t="shared" si="39"/>
        <v>1</v>
      </c>
      <c r="AD231" s="7">
        <f t="shared" si="40"/>
        <v>1</v>
      </c>
      <c r="AF231" s="9" t="s">
        <v>12</v>
      </c>
      <c r="AG231" s="9" t="str">
        <f>INDEX('Brown tagset'!$B:$B,MATCH(IF(ISERROR(FIND("-",AF231)),IF(ISERROR(FIND("+",AF231)),AF231,LEFT(AF231,FIND("+",AF231)-1)),LEFT(AF231,FIND("-",AF231)-1)),'Brown tagset'!$A:$A,0))</f>
        <v>singular or mass noun</v>
      </c>
      <c r="AH231" s="9" t="s">
        <v>13</v>
      </c>
      <c r="AI231" s="9" t="str">
        <f>INDEX('Brown-Universal mapping'!$B:$B,MATCH(AF231,'Brown-Universal mapping'!$A:$A,0))</f>
        <v>NOUN</v>
      </c>
      <c r="AJ231" s="9">
        <f t="shared" si="37"/>
        <v>1</v>
      </c>
      <c r="AK231" s="9">
        <f t="shared" si="38"/>
        <v>1</v>
      </c>
      <c r="AM231" s="6">
        <f t="shared" si="41"/>
        <v>3</v>
      </c>
      <c r="AN231" s="6">
        <f t="shared" si="42"/>
        <v>3</v>
      </c>
      <c r="AP231" s="6" t="str">
        <f t="shared" si="43"/>
        <v>singular or mass noun3</v>
      </c>
    </row>
    <row r="232" spans="1:42" x14ac:dyDescent="0.25">
      <c r="A232" s="29" t="s">
        <v>133</v>
      </c>
      <c r="B232" s="29"/>
      <c r="D232" s="3" t="s">
        <v>26</v>
      </c>
      <c r="E232" s="3" t="str">
        <f>INDEX('Brown tagset'!$B:$B,MATCH(IF(ISERROR(FIND("-",D232)),IF(ISERROR(FIND("+",D232)),D232,LEFT(D232,FIND("+",D232)-1)),LEFT(D232,FIND("-",D232)-1)),'Brown tagset'!$A:$A,0))</f>
        <v>coordinating conjunction (and, or)</v>
      </c>
      <c r="F232" s="3"/>
      <c r="G232" s="3" t="str">
        <f>INDEX('Brown-Universal mapping'!$B:$B,MATCH(D232,'Brown-Universal mapping'!$A:$A,0))</f>
        <v>CONJ</v>
      </c>
      <c r="I232" s="5" t="s">
        <v>26</v>
      </c>
      <c r="J232" s="5" t="str">
        <f>INDEX('Brown tagset'!$B:$B,MATCH(IF(ISERROR(FIND("-",I232)),IF(ISERROR(FIND("+",I232)),I232,LEFT(I232,FIND("+",I232)-1)),LEFT(I232,FIND("-",I232)-1)),'Brown tagset'!$A:$A,0))</f>
        <v>coordinating conjunction (and, or)</v>
      </c>
      <c r="K232" s="5" t="s">
        <v>27</v>
      </c>
      <c r="L232" s="5" t="str">
        <f>INDEX('Brown-Universal mapping'!$B:$B,MATCH(I232,'Brown-Universal mapping'!$A:$A,0))</f>
        <v>CONJ</v>
      </c>
      <c r="M232" s="5">
        <f t="shared" si="33"/>
        <v>1</v>
      </c>
      <c r="N232" s="5">
        <f t="shared" si="34"/>
        <v>1</v>
      </c>
      <c r="P232" s="12" t="s">
        <v>133</v>
      </c>
      <c r="Q232" s="7" t="s">
        <v>293</v>
      </c>
      <c r="R232" s="7" t="str">
        <f>INDEX('Brown tagset'!$B:$B,MATCH(IF(ISERROR(FIND("-",Q232)),IF(ISERROR(FIND("+",Q232)),Q232,LEFT(Q232,FIND("+",Q232)-1)),LEFT(Q232,FIND("-",Q232)-1)),'Brown tagset'!$A:$A,0))</f>
        <v>coordinating conjunction (and, or)</v>
      </c>
      <c r="S232" s="7"/>
      <c r="T232" s="7" t="str">
        <f>INDEX('Brown-Universal mapping'!$B:$B,MATCH(Q232,'Brown-Universal mapping'!$A:$A,0))</f>
        <v>CONJ</v>
      </c>
      <c r="U232" s="7">
        <f t="shared" si="35"/>
        <v>1</v>
      </c>
      <c r="V232" s="7">
        <f t="shared" si="36"/>
        <v>1</v>
      </c>
      <c r="X232" s="12" t="s">
        <v>133</v>
      </c>
      <c r="Y232" s="7" t="s">
        <v>293</v>
      </c>
      <c r="Z232" s="7" t="str">
        <f>INDEX('Brown tagset'!$B:$B,MATCH(IF(ISERROR(FIND("-",Y232)),IF(ISERROR(FIND("+",Y232)),Y232,LEFT(Y232,FIND("+",Y232)-1)),LEFT(Y232,FIND("-",Y232)-1)),'Brown tagset'!$A:$A,0))</f>
        <v>coordinating conjunction (and, or)</v>
      </c>
      <c r="AA232" s="7"/>
      <c r="AB232" s="7" t="str">
        <f>INDEX('Brown-Universal mapping'!$B:$B,MATCH(Y232,'Brown-Universal mapping'!$A:$A,0))</f>
        <v>CONJ</v>
      </c>
      <c r="AC232" s="7">
        <f t="shared" si="39"/>
        <v>1</v>
      </c>
      <c r="AD232" s="7">
        <f t="shared" si="40"/>
        <v>1</v>
      </c>
      <c r="AF232" s="9" t="s">
        <v>26</v>
      </c>
      <c r="AG232" s="9" t="str">
        <f>INDEX('Brown tagset'!$B:$B,MATCH(IF(ISERROR(FIND("-",AF232)),IF(ISERROR(FIND("+",AF232)),AF232,LEFT(AF232,FIND("+",AF232)-1)),LEFT(AF232,FIND("-",AF232)-1)),'Brown tagset'!$A:$A,0))</f>
        <v>coordinating conjunction (and, or)</v>
      </c>
      <c r="AH232" s="9" t="s">
        <v>27</v>
      </c>
      <c r="AI232" s="9" t="str">
        <f>INDEX('Brown-Universal mapping'!$B:$B,MATCH(AF232,'Brown-Universal mapping'!$A:$A,0))</f>
        <v>CONJ</v>
      </c>
      <c r="AJ232" s="9">
        <f t="shared" si="37"/>
        <v>1</v>
      </c>
      <c r="AK232" s="9">
        <f t="shared" si="38"/>
        <v>1</v>
      </c>
      <c r="AM232" s="6">
        <f t="shared" si="41"/>
        <v>3</v>
      </c>
      <c r="AN232" s="6">
        <f t="shared" si="42"/>
        <v>3</v>
      </c>
      <c r="AP232" s="6" t="str">
        <f t="shared" si="43"/>
        <v>coordinating conjunction (and, or)3</v>
      </c>
    </row>
    <row r="233" spans="1:42" x14ac:dyDescent="0.25">
      <c r="A233" s="4" t="s">
        <v>188</v>
      </c>
      <c r="B233" s="29">
        <v>1</v>
      </c>
      <c r="C233" s="4">
        <v>1</v>
      </c>
      <c r="D233" s="3" t="s">
        <v>1</v>
      </c>
      <c r="E233" s="3" t="str">
        <f>INDEX('Brown tagset'!$B:$B,MATCH(IF(ISERROR(FIND("-",D233)),IF(ISERROR(FIND("+",D233)),D233,LEFT(D233,FIND("+",D233)-1)),LEFT(D233,FIND("-",D233)-1)),'Brown tagset'!$A:$A,0))</f>
        <v>qualifier (very, fairly)</v>
      </c>
      <c r="F233" s="3"/>
      <c r="G233" s="3" t="str">
        <f>INDEX('Brown-Universal mapping'!$B:$B,MATCH(D233,'Brown-Universal mapping'!$A:$A,0))</f>
        <v>ADV</v>
      </c>
      <c r="I233" s="5" t="s">
        <v>163</v>
      </c>
      <c r="J233" s="5" t="str">
        <f>INDEX('Brown tagset'!$B:$B,MATCH(IF(ISERROR(FIND("-",I233)),IF(ISERROR(FIND("+",I233)),I233,LEFT(I233,FIND("+",I233)-1)),LEFT(I233,FIND("-",I233)-1)),'Brown tagset'!$A:$A,0))</f>
        <v>comparative adjective</v>
      </c>
      <c r="K233" s="5" t="s">
        <v>46</v>
      </c>
      <c r="L233" s="5" t="str">
        <f>INDEX('Brown-Universal mapping'!$B:$B,MATCH(I233,'Brown-Universal mapping'!$A:$A,0))</f>
        <v>ADJ</v>
      </c>
      <c r="M233" s="5">
        <f t="shared" si="33"/>
        <v>0</v>
      </c>
      <c r="N233" s="5">
        <f t="shared" si="34"/>
        <v>0</v>
      </c>
      <c r="P233" s="12" t="s">
        <v>188</v>
      </c>
      <c r="Q233" s="7" t="s">
        <v>323</v>
      </c>
      <c r="R233" s="7" t="str">
        <f>INDEX('Brown tagset'!$B:$B,MATCH(IF(ISERROR(FIND("-",Q233)),IF(ISERROR(FIND("+",Q233)),Q233,LEFT(Q233,FIND("+",Q233)-1)),LEFT(Q233,FIND("-",Q233)-1)),'Brown tagset'!$A:$A,0))</f>
        <v>comparative adjective</v>
      </c>
      <c r="S233" s="7"/>
      <c r="T233" s="7" t="str">
        <f>INDEX('Brown-Universal mapping'!$B:$B,MATCH(Q233,'Brown-Universal mapping'!$A:$A,0))</f>
        <v>ADJ</v>
      </c>
      <c r="U233" s="7">
        <f t="shared" si="35"/>
        <v>0</v>
      </c>
      <c r="V233" s="7">
        <f t="shared" si="36"/>
        <v>0</v>
      </c>
      <c r="X233" s="12" t="s">
        <v>188</v>
      </c>
      <c r="Y233" s="7" t="s">
        <v>323</v>
      </c>
      <c r="Z233" s="7" t="str">
        <f>INDEX('Brown tagset'!$B:$B,MATCH(IF(ISERROR(FIND("-",Y233)),IF(ISERROR(FIND("+",Y233)),Y233,LEFT(Y233,FIND("+",Y233)-1)),LEFT(Y233,FIND("-",Y233)-1)),'Brown tagset'!$A:$A,0))</f>
        <v>comparative adjective</v>
      </c>
      <c r="AA233" s="7"/>
      <c r="AB233" s="7" t="str">
        <f>INDEX('Brown-Universal mapping'!$B:$B,MATCH(Y233,'Brown-Universal mapping'!$A:$A,0))</f>
        <v>ADJ</v>
      </c>
      <c r="AC233" s="7">
        <f t="shared" si="39"/>
        <v>0</v>
      </c>
      <c r="AD233" s="7">
        <f t="shared" si="40"/>
        <v>0</v>
      </c>
      <c r="AF233" s="9" t="s">
        <v>163</v>
      </c>
      <c r="AG233" s="9" t="str">
        <f>INDEX('Brown tagset'!$B:$B,MATCH(IF(ISERROR(FIND("-",AF233)),IF(ISERROR(FIND("+",AF233)),AF233,LEFT(AF233,FIND("+",AF233)-1)),LEFT(AF233,FIND("-",AF233)-1)),'Brown tagset'!$A:$A,0))</f>
        <v>comparative adjective</v>
      </c>
      <c r="AH233" s="9" t="s">
        <v>46</v>
      </c>
      <c r="AI233" s="9" t="str">
        <f>INDEX('Brown-Universal mapping'!$B:$B,MATCH(AF233,'Brown-Universal mapping'!$A:$A,0))</f>
        <v>ADJ</v>
      </c>
      <c r="AJ233" s="9">
        <f t="shared" si="37"/>
        <v>0</v>
      </c>
      <c r="AK233" s="9">
        <f t="shared" si="38"/>
        <v>0</v>
      </c>
      <c r="AM233" s="6">
        <f t="shared" si="41"/>
        <v>0</v>
      </c>
      <c r="AN233" s="6">
        <f t="shared" si="42"/>
        <v>0</v>
      </c>
      <c r="AP233" s="6" t="str">
        <f t="shared" si="43"/>
        <v>comparative adjective0</v>
      </c>
    </row>
    <row r="234" spans="1:42" x14ac:dyDescent="0.25">
      <c r="A234" s="29" t="s">
        <v>206</v>
      </c>
      <c r="B234" s="29">
        <v>1</v>
      </c>
      <c r="C234" s="4">
        <v>1</v>
      </c>
      <c r="D234" s="3" t="s">
        <v>4</v>
      </c>
      <c r="E234" s="3" t="str">
        <f>INDEX('Brown tagset'!$B:$B,MATCH(IF(ISERROR(FIND("-",D234)),IF(ISERROR(FIND("+",D234)),D234,LEFT(D234,FIND("+",D234)-1)),LEFT(D234,FIND("-",D234)-1)),'Brown tagset'!$A:$A,0))</f>
        <v>adverb</v>
      </c>
      <c r="F234" s="3"/>
      <c r="G234" s="3" t="str">
        <f>INDEX('Brown-Universal mapping'!$B:$B,MATCH(D234,'Brown-Universal mapping'!$A:$A,0))</f>
        <v>ADV</v>
      </c>
      <c r="I234" s="5" t="s">
        <v>4</v>
      </c>
      <c r="J234" s="5" t="str">
        <f>INDEX('Brown tagset'!$B:$B,MATCH(IF(ISERROR(FIND("-",I234)),IF(ISERROR(FIND("+",I234)),I234,LEFT(I234,FIND("+",I234)-1)),LEFT(I234,FIND("-",I234)-1)),'Brown tagset'!$A:$A,0))</f>
        <v>adverb</v>
      </c>
      <c r="K234" s="5" t="s">
        <v>5</v>
      </c>
      <c r="L234" s="5" t="str">
        <f>INDEX('Brown-Universal mapping'!$B:$B,MATCH(I234,'Brown-Universal mapping'!$A:$A,0))</f>
        <v>ADV</v>
      </c>
      <c r="M234" s="5">
        <f t="shared" si="33"/>
        <v>1</v>
      </c>
      <c r="N234" s="5">
        <f t="shared" si="34"/>
        <v>1</v>
      </c>
      <c r="P234" s="12" t="s">
        <v>206</v>
      </c>
      <c r="Q234" s="7" t="s">
        <v>288</v>
      </c>
      <c r="R234" s="7" t="str">
        <f>INDEX('Brown tagset'!$B:$B,MATCH(IF(ISERROR(FIND("-",Q234)),IF(ISERROR(FIND("+",Q234)),Q234,LEFT(Q234,FIND("+",Q234)-1)),LEFT(Q234,FIND("-",Q234)-1)),'Brown tagset'!$A:$A,0))</f>
        <v>adverb</v>
      </c>
      <c r="S234" s="7"/>
      <c r="T234" s="7" t="str">
        <f>INDEX('Brown-Universal mapping'!$B:$B,MATCH(Q234,'Brown-Universal mapping'!$A:$A,0))</f>
        <v>ADV</v>
      </c>
      <c r="U234" s="7">
        <f t="shared" si="35"/>
        <v>1</v>
      </c>
      <c r="V234" s="7">
        <f t="shared" si="36"/>
        <v>1</v>
      </c>
      <c r="X234" s="12" t="s">
        <v>206</v>
      </c>
      <c r="Y234" s="7" t="s">
        <v>288</v>
      </c>
      <c r="Z234" s="7" t="str">
        <f>INDEX('Brown tagset'!$B:$B,MATCH(IF(ISERROR(FIND("-",Y234)),IF(ISERROR(FIND("+",Y234)),Y234,LEFT(Y234,FIND("+",Y234)-1)),LEFT(Y234,FIND("-",Y234)-1)),'Brown tagset'!$A:$A,0))</f>
        <v>adverb</v>
      </c>
      <c r="AA234" s="7"/>
      <c r="AB234" s="7" t="str">
        <f>INDEX('Brown-Universal mapping'!$B:$B,MATCH(Y234,'Brown-Universal mapping'!$A:$A,0))</f>
        <v>ADV</v>
      </c>
      <c r="AC234" s="7">
        <f t="shared" si="39"/>
        <v>1</v>
      </c>
      <c r="AD234" s="7">
        <f t="shared" si="40"/>
        <v>1</v>
      </c>
      <c r="AF234" s="9" t="s">
        <v>4</v>
      </c>
      <c r="AG234" s="9" t="str">
        <f>INDEX('Brown tagset'!$B:$B,MATCH(IF(ISERROR(FIND("-",AF234)),IF(ISERROR(FIND("+",AF234)),AF234,LEFT(AF234,FIND("+",AF234)-1)),LEFT(AF234,FIND("-",AF234)-1)),'Brown tagset'!$A:$A,0))</f>
        <v>adverb</v>
      </c>
      <c r="AH234" s="9" t="s">
        <v>5</v>
      </c>
      <c r="AI234" s="9" t="str">
        <f>INDEX('Brown-Universal mapping'!$B:$B,MATCH(AF234,'Brown-Universal mapping'!$A:$A,0))</f>
        <v>ADV</v>
      </c>
      <c r="AJ234" s="9">
        <f t="shared" si="37"/>
        <v>1</v>
      </c>
      <c r="AK234" s="9">
        <f t="shared" si="38"/>
        <v>1</v>
      </c>
      <c r="AM234" s="6">
        <f t="shared" si="41"/>
        <v>3</v>
      </c>
      <c r="AN234" s="6">
        <f t="shared" si="42"/>
        <v>3</v>
      </c>
      <c r="AP234" s="6" t="str">
        <f t="shared" si="43"/>
        <v>adverb3</v>
      </c>
    </row>
    <row r="235" spans="1:42" x14ac:dyDescent="0.25">
      <c r="A235" s="29" t="s">
        <v>62</v>
      </c>
      <c r="B235" s="29"/>
      <c r="D235" s="3" t="s">
        <v>62</v>
      </c>
      <c r="E235" s="3" t="str">
        <f>INDEX('Brown tagset'!$B:$B,MATCH(IF(ISERROR(FIND("-",D235)),IF(ISERROR(FIND("+",D235)),D235,LEFT(D235,FIND("+",D235)-1)),LEFT(D235,FIND("-",D235)-1)),'Brown tagset'!$A:$A,0))</f>
        <v>comma</v>
      </c>
      <c r="F235" s="3"/>
      <c r="G235" s="3" t="str">
        <f>INDEX('Brown-Universal mapping'!$B:$B,MATCH(D235,'Brown-Universal mapping'!$A:$A,0))</f>
        <v>.</v>
      </c>
      <c r="I235" s="5" t="s">
        <v>62</v>
      </c>
      <c r="J235" s="5" t="str">
        <f>INDEX('Brown tagset'!$B:$B,MATCH(IF(ISERROR(FIND("-",I235)),IF(ISERROR(FIND("+",I235)),I235,LEFT(I235,FIND("+",I235)-1)),LEFT(I235,FIND("-",I235)-1)),'Brown tagset'!$A:$A,0))</f>
        <v>comma</v>
      </c>
      <c r="K235" s="5" t="s">
        <v>38</v>
      </c>
      <c r="L235" s="5" t="str">
        <f>INDEX('Brown-Universal mapping'!$B:$B,MATCH(I235,'Brown-Universal mapping'!$A:$A,0))</f>
        <v>.</v>
      </c>
      <c r="M235" s="5">
        <f t="shared" si="33"/>
        <v>1</v>
      </c>
      <c r="N235" s="5">
        <f t="shared" si="34"/>
        <v>1</v>
      </c>
      <c r="P235" s="12" t="s">
        <v>62</v>
      </c>
      <c r="Q235" s="7" t="s">
        <v>62</v>
      </c>
      <c r="R235" s="7" t="str">
        <f>INDEX('Brown tagset'!$B:$B,MATCH(IF(ISERROR(FIND("-",Q235)),IF(ISERROR(FIND("+",Q235)),Q235,LEFT(Q235,FIND("+",Q235)-1)),LEFT(Q235,FIND("-",Q235)-1)),'Brown tagset'!$A:$A,0))</f>
        <v>comma</v>
      </c>
      <c r="S235" s="7"/>
      <c r="T235" s="7" t="str">
        <f>INDEX('Brown-Universal mapping'!$B:$B,MATCH(Q235,'Brown-Universal mapping'!$A:$A,0))</f>
        <v>.</v>
      </c>
      <c r="U235" s="7">
        <f t="shared" si="35"/>
        <v>1</v>
      </c>
      <c r="V235" s="7">
        <f t="shared" si="36"/>
        <v>1</v>
      </c>
      <c r="X235" s="12" t="s">
        <v>62</v>
      </c>
      <c r="Y235" s="7" t="s">
        <v>62</v>
      </c>
      <c r="Z235" s="7" t="str">
        <f>INDEX('Brown tagset'!$B:$B,MATCH(IF(ISERROR(FIND("-",Y235)),IF(ISERROR(FIND("+",Y235)),Y235,LEFT(Y235,FIND("+",Y235)-1)),LEFT(Y235,FIND("-",Y235)-1)),'Brown tagset'!$A:$A,0))</f>
        <v>comma</v>
      </c>
      <c r="AA235" s="7"/>
      <c r="AB235" s="7" t="str">
        <f>INDEX('Brown-Universal mapping'!$B:$B,MATCH(Y235,'Brown-Universal mapping'!$A:$A,0))</f>
        <v>.</v>
      </c>
      <c r="AC235" s="7">
        <f t="shared" si="39"/>
        <v>1</v>
      </c>
      <c r="AD235" s="7">
        <f t="shared" si="40"/>
        <v>1</v>
      </c>
      <c r="AF235" s="9" t="s">
        <v>62</v>
      </c>
      <c r="AG235" s="9" t="str">
        <f>INDEX('Brown tagset'!$B:$B,MATCH(IF(ISERROR(FIND("-",AF235)),IF(ISERROR(FIND("+",AF235)),AF235,LEFT(AF235,FIND("+",AF235)-1)),LEFT(AF235,FIND("-",AF235)-1)),'Brown tagset'!$A:$A,0))</f>
        <v>comma</v>
      </c>
      <c r="AH235" s="9" t="s">
        <v>38</v>
      </c>
      <c r="AI235" s="9" t="str">
        <f>INDEX('Brown-Universal mapping'!$B:$B,MATCH(AF235,'Brown-Universal mapping'!$A:$A,0))</f>
        <v>.</v>
      </c>
      <c r="AJ235" s="9">
        <f t="shared" si="37"/>
        <v>1</v>
      </c>
      <c r="AK235" s="9">
        <f t="shared" si="38"/>
        <v>1</v>
      </c>
      <c r="AM235" s="6">
        <f t="shared" si="41"/>
        <v>3</v>
      </c>
      <c r="AN235" s="6">
        <f t="shared" si="42"/>
        <v>3</v>
      </c>
      <c r="AP235" s="6" t="str">
        <f t="shared" si="43"/>
        <v>comma3</v>
      </c>
    </row>
    <row r="236" spans="1:42" x14ac:dyDescent="0.25">
      <c r="A236" s="29" t="s">
        <v>85</v>
      </c>
      <c r="B236" s="29"/>
      <c r="D236" s="3" t="s">
        <v>86</v>
      </c>
      <c r="E236" s="3" t="str">
        <f>INDEX('Brown tagset'!$B:$B,MATCH(IF(ISERROR(FIND("-",D236)),IF(ISERROR(FIND("+",D236)),D236,LEFT(D236,FIND("+",D236)-1)),LEFT(D236,FIND("-",D236)-1)),'Brown tagset'!$A:$A,0))</f>
        <v>3rd. singular nominative pronoun (he, she, it, one)</v>
      </c>
      <c r="F236" s="3"/>
      <c r="G236" s="3" t="str">
        <f>INDEX('Brown-Universal mapping'!$B:$B,MATCH(D236,'Brown-Universal mapping'!$A:$A,0))</f>
        <v>PRON</v>
      </c>
      <c r="I236" s="5" t="s">
        <v>86</v>
      </c>
      <c r="J236" s="5" t="str">
        <f>INDEX('Brown tagset'!$B:$B,MATCH(IF(ISERROR(FIND("-",I236)),IF(ISERROR(FIND("+",I236)),I236,LEFT(I236,FIND("+",I236)-1)),LEFT(I236,FIND("-",I236)-1)),'Brown tagset'!$A:$A,0))</f>
        <v>3rd. singular nominative pronoun (he, she, it, one)</v>
      </c>
      <c r="K236" s="5" t="s">
        <v>2</v>
      </c>
      <c r="L236" s="5" t="str">
        <f>INDEX('Brown-Universal mapping'!$B:$B,MATCH(I236,'Brown-Universal mapping'!$A:$A,0))</f>
        <v>PRON</v>
      </c>
      <c r="M236" s="5">
        <f t="shared" si="33"/>
        <v>1</v>
      </c>
      <c r="N236" s="5">
        <f t="shared" si="34"/>
        <v>1</v>
      </c>
      <c r="P236" s="12" t="s">
        <v>85</v>
      </c>
      <c r="Q236" s="7" t="s">
        <v>307</v>
      </c>
      <c r="R236" s="7" t="str">
        <f>INDEX('Brown tagset'!$B:$B,MATCH(IF(ISERROR(FIND("-",Q236)),IF(ISERROR(FIND("+",Q236)),Q236,LEFT(Q236,FIND("+",Q236)-1)),LEFT(Q236,FIND("-",Q236)-1)),'Brown tagset'!$A:$A,0))</f>
        <v>3rd. singular nominative pronoun (he, she, it, one)</v>
      </c>
      <c r="S236" s="7"/>
      <c r="T236" s="7" t="str">
        <f>INDEX('Brown-Universal mapping'!$B:$B,MATCH(Q236,'Brown-Universal mapping'!$A:$A,0))</f>
        <v>PRON</v>
      </c>
      <c r="U236" s="7">
        <f t="shared" si="35"/>
        <v>1</v>
      </c>
      <c r="V236" s="7">
        <f t="shared" si="36"/>
        <v>1</v>
      </c>
      <c r="X236" s="12" t="s">
        <v>85</v>
      </c>
      <c r="Y236" s="7" t="s">
        <v>307</v>
      </c>
      <c r="Z236" s="7" t="str">
        <f>INDEX('Brown tagset'!$B:$B,MATCH(IF(ISERROR(FIND("-",Y236)),IF(ISERROR(FIND("+",Y236)),Y236,LEFT(Y236,FIND("+",Y236)-1)),LEFT(Y236,FIND("-",Y236)-1)),'Brown tagset'!$A:$A,0))</f>
        <v>3rd. singular nominative pronoun (he, she, it, one)</v>
      </c>
      <c r="AA236" s="7"/>
      <c r="AB236" s="7" t="str">
        <f>INDEX('Brown-Universal mapping'!$B:$B,MATCH(Y236,'Brown-Universal mapping'!$A:$A,0))</f>
        <v>PRON</v>
      </c>
      <c r="AC236" s="7">
        <f t="shared" si="39"/>
        <v>1</v>
      </c>
      <c r="AD236" s="7">
        <f t="shared" si="40"/>
        <v>1</v>
      </c>
      <c r="AF236" s="9" t="s">
        <v>86</v>
      </c>
      <c r="AG236" s="9" t="str">
        <f>INDEX('Brown tagset'!$B:$B,MATCH(IF(ISERROR(FIND("-",AF236)),IF(ISERROR(FIND("+",AF236)),AF236,LEFT(AF236,FIND("+",AF236)-1)),LEFT(AF236,FIND("-",AF236)-1)),'Brown tagset'!$A:$A,0))</f>
        <v>3rd. singular nominative pronoun (he, she, it, one)</v>
      </c>
      <c r="AH236" s="9" t="s">
        <v>2</v>
      </c>
      <c r="AI236" s="9" t="str">
        <f>INDEX('Brown-Universal mapping'!$B:$B,MATCH(AF236,'Brown-Universal mapping'!$A:$A,0))</f>
        <v>PRON</v>
      </c>
      <c r="AJ236" s="9">
        <f t="shared" si="37"/>
        <v>1</v>
      </c>
      <c r="AK236" s="9">
        <f t="shared" si="38"/>
        <v>1</v>
      </c>
      <c r="AM236" s="6">
        <f t="shared" si="41"/>
        <v>3</v>
      </c>
      <c r="AN236" s="6">
        <f t="shared" si="42"/>
        <v>3</v>
      </c>
      <c r="AP236" s="6" t="str">
        <f t="shared" si="43"/>
        <v>3rd. singular nominative pronoun (he, she, it, one)3</v>
      </c>
    </row>
    <row r="237" spans="1:42" x14ac:dyDescent="0.25">
      <c r="A237" s="29" t="s">
        <v>195</v>
      </c>
      <c r="B237" s="29"/>
      <c r="D237" s="3" t="s">
        <v>196</v>
      </c>
      <c r="E237" s="3" t="str">
        <f>INDEX('Brown tagset'!$B:$B,MATCH(IF(ISERROR(FIND("-",D237)),IF(ISERROR(FIND("+",D237)),D237,LEFT(D237,FIND("+",D237)-1)),LEFT(D237,FIND("-",D237)-1)),'Brown tagset'!$A:$A,0))</f>
        <v>verb, 3rd. singular present</v>
      </c>
      <c r="F237" s="3"/>
      <c r="G237" s="3" t="str">
        <f>INDEX('Brown-Universal mapping'!$B:$B,MATCH(D237,'Brown-Universal mapping'!$A:$A,0))</f>
        <v>VERB</v>
      </c>
      <c r="I237" s="5" t="s">
        <v>196</v>
      </c>
      <c r="J237" s="5" t="str">
        <f>INDEX('Brown tagset'!$B:$B,MATCH(IF(ISERROR(FIND("-",I237)),IF(ISERROR(FIND("+",I237)),I237,LEFT(I237,FIND("+",I237)-1)),LEFT(I237,FIND("-",I237)-1)),'Brown tagset'!$A:$A,0))</f>
        <v>verb, 3rd. singular present</v>
      </c>
      <c r="K237" s="5" t="s">
        <v>10</v>
      </c>
      <c r="L237" s="5" t="str">
        <f>INDEX('Brown-Universal mapping'!$B:$B,MATCH(I237,'Brown-Universal mapping'!$A:$A,0))</f>
        <v>VERB</v>
      </c>
      <c r="M237" s="5">
        <f t="shared" si="33"/>
        <v>1</v>
      </c>
      <c r="N237" s="5">
        <f t="shared" si="34"/>
        <v>1</v>
      </c>
      <c r="P237" s="12" t="s">
        <v>195</v>
      </c>
      <c r="Q237" s="7" t="s">
        <v>315</v>
      </c>
      <c r="R237" s="7" t="str">
        <f>INDEX('Brown tagset'!$B:$B,MATCH(IF(ISERROR(FIND("-",Q237)),IF(ISERROR(FIND("+",Q237)),Q237,LEFT(Q237,FIND("+",Q237)-1)),LEFT(Q237,FIND("-",Q237)-1)),'Brown tagset'!$A:$A,0))</f>
        <v>verb, 3rd. singular present</v>
      </c>
      <c r="S237" s="7"/>
      <c r="T237" s="7" t="str">
        <f>INDEX('Brown-Universal mapping'!$B:$B,MATCH(Q237,'Brown-Universal mapping'!$A:$A,0))</f>
        <v>VERB</v>
      </c>
      <c r="U237" s="7">
        <f t="shared" si="35"/>
        <v>1</v>
      </c>
      <c r="V237" s="7">
        <f t="shared" si="36"/>
        <v>1</v>
      </c>
      <c r="X237" s="12" t="s">
        <v>195</v>
      </c>
      <c r="Y237" s="7" t="s">
        <v>315</v>
      </c>
      <c r="Z237" s="7" t="str">
        <f>INDEX('Brown tagset'!$B:$B,MATCH(IF(ISERROR(FIND("-",Y237)),IF(ISERROR(FIND("+",Y237)),Y237,LEFT(Y237,FIND("+",Y237)-1)),LEFT(Y237,FIND("-",Y237)-1)),'Brown tagset'!$A:$A,0))</f>
        <v>verb, 3rd. singular present</v>
      </c>
      <c r="AA237" s="7"/>
      <c r="AB237" s="7" t="str">
        <f>INDEX('Brown-Universal mapping'!$B:$B,MATCH(Y237,'Brown-Universal mapping'!$A:$A,0))</f>
        <v>VERB</v>
      </c>
      <c r="AC237" s="7">
        <f t="shared" si="39"/>
        <v>1</v>
      </c>
      <c r="AD237" s="7">
        <f t="shared" si="40"/>
        <v>1</v>
      </c>
      <c r="AF237" s="9" t="s">
        <v>196</v>
      </c>
      <c r="AG237" s="9" t="str">
        <f>INDEX('Brown tagset'!$B:$B,MATCH(IF(ISERROR(FIND("-",AF237)),IF(ISERROR(FIND("+",AF237)),AF237,LEFT(AF237,FIND("+",AF237)-1)),LEFT(AF237,FIND("-",AF237)-1)),'Brown tagset'!$A:$A,0))</f>
        <v>verb, 3rd. singular present</v>
      </c>
      <c r="AH237" s="9" t="s">
        <v>10</v>
      </c>
      <c r="AI237" s="9" t="str">
        <f>INDEX('Brown-Universal mapping'!$B:$B,MATCH(AF237,'Brown-Universal mapping'!$A:$A,0))</f>
        <v>VERB</v>
      </c>
      <c r="AJ237" s="9">
        <f t="shared" si="37"/>
        <v>1</v>
      </c>
      <c r="AK237" s="9">
        <f t="shared" si="38"/>
        <v>1</v>
      </c>
      <c r="AM237" s="6">
        <f t="shared" si="41"/>
        <v>3</v>
      </c>
      <c r="AN237" s="6">
        <f t="shared" si="42"/>
        <v>3</v>
      </c>
      <c r="AP237" s="6" t="str">
        <f t="shared" si="43"/>
        <v>verb, 3rd. singular present3</v>
      </c>
    </row>
    <row r="238" spans="1:42" x14ac:dyDescent="0.25">
      <c r="A238" s="29" t="s">
        <v>207</v>
      </c>
      <c r="B238" s="29">
        <v>1</v>
      </c>
      <c r="C238" s="4">
        <v>1</v>
      </c>
      <c r="D238" s="3" t="s">
        <v>4</v>
      </c>
      <c r="E238" s="3" t="str">
        <f>INDEX('Brown tagset'!$B:$B,MATCH(IF(ISERROR(FIND("-",D238)),IF(ISERROR(FIND("+",D238)),D238,LEFT(D238,FIND("+",D238)-1)),LEFT(D238,FIND("-",D238)-1)),'Brown tagset'!$A:$A,0))</f>
        <v>adverb</v>
      </c>
      <c r="F238" s="3"/>
      <c r="G238" s="3" t="str">
        <f>INDEX('Brown-Universal mapping'!$B:$B,MATCH(D238,'Brown-Universal mapping'!$A:$A,0))</f>
        <v>ADV</v>
      </c>
      <c r="I238" s="5" t="s">
        <v>4</v>
      </c>
      <c r="J238" s="5" t="str">
        <f>INDEX('Brown tagset'!$B:$B,MATCH(IF(ISERROR(FIND("-",I238)),IF(ISERROR(FIND("+",I238)),I238,LEFT(I238,FIND("+",I238)-1)),LEFT(I238,FIND("-",I238)-1)),'Brown tagset'!$A:$A,0))</f>
        <v>adverb</v>
      </c>
      <c r="K238" s="5" t="s">
        <v>5</v>
      </c>
      <c r="L238" s="5" t="str">
        <f>INDEX('Brown-Universal mapping'!$B:$B,MATCH(I238,'Brown-Universal mapping'!$A:$A,0))</f>
        <v>ADV</v>
      </c>
      <c r="M238" s="5">
        <f t="shared" si="33"/>
        <v>1</v>
      </c>
      <c r="N238" s="5">
        <f t="shared" si="34"/>
        <v>1</v>
      </c>
      <c r="P238" s="12" t="s">
        <v>207</v>
      </c>
      <c r="Q238" s="7" t="s">
        <v>288</v>
      </c>
      <c r="R238" s="7" t="str">
        <f>INDEX('Brown tagset'!$B:$B,MATCH(IF(ISERROR(FIND("-",Q238)),IF(ISERROR(FIND("+",Q238)),Q238,LEFT(Q238,FIND("+",Q238)-1)),LEFT(Q238,FIND("-",Q238)-1)),'Brown tagset'!$A:$A,0))</f>
        <v>adverb</v>
      </c>
      <c r="S238" s="7"/>
      <c r="T238" s="7" t="str">
        <f>INDEX('Brown-Universal mapping'!$B:$B,MATCH(Q238,'Brown-Universal mapping'!$A:$A,0))</f>
        <v>ADV</v>
      </c>
      <c r="U238" s="7">
        <f t="shared" si="35"/>
        <v>1</v>
      </c>
      <c r="V238" s="7">
        <f t="shared" si="36"/>
        <v>1</v>
      </c>
      <c r="X238" s="12" t="s">
        <v>207</v>
      </c>
      <c r="Y238" s="7" t="s">
        <v>288</v>
      </c>
      <c r="Z238" s="7" t="str">
        <f>INDEX('Brown tagset'!$B:$B,MATCH(IF(ISERROR(FIND("-",Y238)),IF(ISERROR(FIND("+",Y238)),Y238,LEFT(Y238,FIND("+",Y238)-1)),LEFT(Y238,FIND("-",Y238)-1)),'Brown tagset'!$A:$A,0))</f>
        <v>adverb</v>
      </c>
      <c r="AA238" s="7"/>
      <c r="AB238" s="7" t="str">
        <f>INDEX('Brown-Universal mapping'!$B:$B,MATCH(Y238,'Brown-Universal mapping'!$A:$A,0))</f>
        <v>ADV</v>
      </c>
      <c r="AC238" s="7">
        <f t="shared" si="39"/>
        <v>1</v>
      </c>
      <c r="AD238" s="7">
        <f t="shared" si="40"/>
        <v>1</v>
      </c>
      <c r="AF238" s="9" t="s">
        <v>4</v>
      </c>
      <c r="AG238" s="9" t="str">
        <f>INDEX('Brown tagset'!$B:$B,MATCH(IF(ISERROR(FIND("-",AF238)),IF(ISERROR(FIND("+",AF238)),AF238,LEFT(AF238,FIND("+",AF238)-1)),LEFT(AF238,FIND("-",AF238)-1)),'Brown tagset'!$A:$A,0))</f>
        <v>adverb</v>
      </c>
      <c r="AH238" s="9" t="s">
        <v>5</v>
      </c>
      <c r="AI238" s="9" t="str">
        <f>INDEX('Brown-Universal mapping'!$B:$B,MATCH(AF238,'Brown-Universal mapping'!$A:$A,0))</f>
        <v>ADV</v>
      </c>
      <c r="AJ238" s="9">
        <f t="shared" si="37"/>
        <v>1</v>
      </c>
      <c r="AK238" s="9">
        <f t="shared" si="38"/>
        <v>1</v>
      </c>
      <c r="AM238" s="6">
        <f t="shared" si="41"/>
        <v>3</v>
      </c>
      <c r="AN238" s="6">
        <f t="shared" si="42"/>
        <v>3</v>
      </c>
      <c r="AP238" s="6" t="str">
        <f t="shared" si="43"/>
        <v>adverb3</v>
      </c>
    </row>
    <row r="239" spans="1:42" x14ac:dyDescent="0.25">
      <c r="A239" s="29" t="s">
        <v>208</v>
      </c>
      <c r="B239" s="29"/>
      <c r="D239" s="3" t="s">
        <v>83</v>
      </c>
      <c r="E239" s="3" t="str">
        <f>INDEX('Brown tagset'!$B:$B,MATCH(IF(ISERROR(FIND("-",D239)),IF(ISERROR(FIND("+",D239)),D239,LEFT(D239,FIND("+",D239)-1)),LEFT(D239,FIND("-",D239)-1)),'Brown tagset'!$A:$A,0))</f>
        <v>wh- determiner (what, which)</v>
      </c>
      <c r="F239" s="3"/>
      <c r="G239" s="3" t="str">
        <f>INDEX('Brown-Universal mapping'!$B:$B,MATCH(D239,'Brown-Universal mapping'!$A:$A,0))</f>
        <v>DET</v>
      </c>
      <c r="I239" s="5" t="s">
        <v>83</v>
      </c>
      <c r="J239" s="5" t="str">
        <f>INDEX('Brown tagset'!$B:$B,MATCH(IF(ISERROR(FIND("-",I239)),IF(ISERROR(FIND("+",I239)),I239,LEFT(I239,FIND("+",I239)-1)),LEFT(I239,FIND("-",I239)-1)),'Brown tagset'!$A:$A,0))</f>
        <v>wh- determiner (what, which)</v>
      </c>
      <c r="K239" s="5" t="s">
        <v>84</v>
      </c>
      <c r="L239" s="5" t="str">
        <f>INDEX('Brown-Universal mapping'!$B:$B,MATCH(I239,'Brown-Universal mapping'!$A:$A,0))</f>
        <v>DET</v>
      </c>
      <c r="M239" s="5">
        <f t="shared" si="33"/>
        <v>1</v>
      </c>
      <c r="N239" s="5">
        <f t="shared" si="34"/>
        <v>1</v>
      </c>
      <c r="P239" s="12" t="s">
        <v>208</v>
      </c>
      <c r="Q239" s="7" t="s">
        <v>306</v>
      </c>
      <c r="R239" s="7" t="str">
        <f>INDEX('Brown tagset'!$B:$B,MATCH(IF(ISERROR(FIND("-",Q239)),IF(ISERROR(FIND("+",Q239)),Q239,LEFT(Q239,FIND("+",Q239)-1)),LEFT(Q239,FIND("-",Q239)-1)),'Brown tagset'!$A:$A,0))</f>
        <v>wh- determiner (what, which)</v>
      </c>
      <c r="S239" s="7"/>
      <c r="T239" s="7" t="str">
        <f>INDEX('Brown-Universal mapping'!$B:$B,MATCH(Q239,'Brown-Universal mapping'!$A:$A,0))</f>
        <v>DET</v>
      </c>
      <c r="U239" s="7">
        <f t="shared" si="35"/>
        <v>1</v>
      </c>
      <c r="V239" s="7">
        <f t="shared" si="36"/>
        <v>1</v>
      </c>
      <c r="X239" s="12" t="s">
        <v>208</v>
      </c>
      <c r="Y239" s="7" t="s">
        <v>306</v>
      </c>
      <c r="Z239" s="7" t="str">
        <f>INDEX('Brown tagset'!$B:$B,MATCH(IF(ISERROR(FIND("-",Y239)),IF(ISERROR(FIND("+",Y239)),Y239,LEFT(Y239,FIND("+",Y239)-1)),LEFT(Y239,FIND("-",Y239)-1)),'Brown tagset'!$A:$A,0))</f>
        <v>wh- determiner (what, which)</v>
      </c>
      <c r="AA239" s="7"/>
      <c r="AB239" s="7" t="str">
        <f>INDEX('Brown-Universal mapping'!$B:$B,MATCH(Y239,'Brown-Universal mapping'!$A:$A,0))</f>
        <v>DET</v>
      </c>
      <c r="AC239" s="7">
        <f t="shared" si="39"/>
        <v>1</v>
      </c>
      <c r="AD239" s="7">
        <f t="shared" si="40"/>
        <v>1</v>
      </c>
      <c r="AF239" s="9" t="s">
        <v>83</v>
      </c>
      <c r="AG239" s="9" t="str">
        <f>INDEX('Brown tagset'!$B:$B,MATCH(IF(ISERROR(FIND("-",AF239)),IF(ISERROR(FIND("+",AF239)),AF239,LEFT(AF239,FIND("+",AF239)-1)),LEFT(AF239,FIND("-",AF239)-1)),'Brown tagset'!$A:$A,0))</f>
        <v>wh- determiner (what, which)</v>
      </c>
      <c r="AH239" s="9" t="s">
        <v>84</v>
      </c>
      <c r="AI239" s="9" t="str">
        <f>INDEX('Brown-Universal mapping'!$B:$B,MATCH(AF239,'Brown-Universal mapping'!$A:$A,0))</f>
        <v>DET</v>
      </c>
      <c r="AJ239" s="9">
        <f t="shared" si="37"/>
        <v>1</v>
      </c>
      <c r="AK239" s="9">
        <f t="shared" si="38"/>
        <v>1</v>
      </c>
      <c r="AM239" s="6">
        <f t="shared" si="41"/>
        <v>3</v>
      </c>
      <c r="AN239" s="6">
        <f t="shared" si="42"/>
        <v>3</v>
      </c>
      <c r="AP239" s="6" t="str">
        <f t="shared" si="43"/>
        <v>wh- determiner (what, which)3</v>
      </c>
    </row>
    <row r="240" spans="1:42" x14ac:dyDescent="0.25">
      <c r="A240" s="4" t="s">
        <v>209</v>
      </c>
      <c r="D240" s="3" t="s">
        <v>31</v>
      </c>
      <c r="E240" s="3" t="str">
        <f>INDEX('Brown tagset'!$B:$B,MATCH(IF(ISERROR(FIND("-",D240)),IF(ISERROR(FIND("+",D240)),D240,LEFT(D240,FIND("+",D240)-1)),LEFT(D240,FIND("-",D240)-1)),'Brown tagset'!$A:$A,0))</f>
        <v>plural noun</v>
      </c>
      <c r="F240" s="3"/>
      <c r="G240" s="3" t="str">
        <f>INDEX('Brown-Universal mapping'!$B:$B,MATCH(D240,'Brown-Universal mapping'!$A:$A,0))</f>
        <v>NOUN</v>
      </c>
      <c r="I240" s="5" t="s">
        <v>196</v>
      </c>
      <c r="J240" s="5" t="str">
        <f>INDEX('Brown tagset'!$B:$B,MATCH(IF(ISERROR(FIND("-",I240)),IF(ISERROR(FIND("+",I240)),I240,LEFT(I240,FIND("+",I240)-1)),LEFT(I240,FIND("-",I240)-1)),'Brown tagset'!$A:$A,0))</f>
        <v>verb, 3rd. singular present</v>
      </c>
      <c r="K240" s="5" t="s">
        <v>10</v>
      </c>
      <c r="L240" s="5" t="str">
        <f>INDEX('Brown-Universal mapping'!$B:$B,MATCH(I240,'Brown-Universal mapping'!$A:$A,0))</f>
        <v>VERB</v>
      </c>
      <c r="M240" s="5">
        <f t="shared" si="33"/>
        <v>0</v>
      </c>
      <c r="N240" s="5">
        <f t="shared" si="34"/>
        <v>0</v>
      </c>
      <c r="P240" s="12" t="s">
        <v>209</v>
      </c>
      <c r="Q240" s="7" t="s">
        <v>295</v>
      </c>
      <c r="R240" s="7" t="str">
        <f>INDEX('Brown tagset'!$B:$B,MATCH(IF(ISERROR(FIND("-",Q240)),IF(ISERROR(FIND("+",Q240)),Q240,LEFT(Q240,FIND("+",Q240)-1)),LEFT(Q240,FIND("-",Q240)-1)),'Brown tagset'!$A:$A,0))</f>
        <v>plural noun</v>
      </c>
      <c r="S240" s="7"/>
      <c r="T240" s="7" t="str">
        <f>INDEX('Brown-Universal mapping'!$B:$B,MATCH(Q240,'Brown-Universal mapping'!$A:$A,0))</f>
        <v>NOUN</v>
      </c>
      <c r="U240" s="7">
        <f t="shared" si="35"/>
        <v>1</v>
      </c>
      <c r="V240" s="7">
        <f t="shared" si="36"/>
        <v>1</v>
      </c>
      <c r="X240" s="12" t="s">
        <v>209</v>
      </c>
      <c r="Y240" s="7" t="s">
        <v>295</v>
      </c>
      <c r="Z240" s="7" t="str">
        <f>INDEX('Brown tagset'!$B:$B,MATCH(IF(ISERROR(FIND("-",Y240)),IF(ISERROR(FIND("+",Y240)),Y240,LEFT(Y240,FIND("+",Y240)-1)),LEFT(Y240,FIND("-",Y240)-1)),'Brown tagset'!$A:$A,0))</f>
        <v>plural noun</v>
      </c>
      <c r="AA240" s="7"/>
      <c r="AB240" s="7" t="str">
        <f>INDEX('Brown-Universal mapping'!$B:$B,MATCH(Y240,'Brown-Universal mapping'!$A:$A,0))</f>
        <v>NOUN</v>
      </c>
      <c r="AC240" s="7">
        <f t="shared" si="39"/>
        <v>1</v>
      </c>
      <c r="AD240" s="7">
        <f t="shared" si="40"/>
        <v>1</v>
      </c>
      <c r="AF240" s="9" t="s">
        <v>31</v>
      </c>
      <c r="AG240" s="9" t="str">
        <f>INDEX('Brown tagset'!$B:$B,MATCH(IF(ISERROR(FIND("-",AF240)),IF(ISERROR(FIND("+",AF240)),AF240,LEFT(AF240,FIND("+",AF240)-1)),LEFT(AF240,FIND("-",AF240)-1)),'Brown tagset'!$A:$A,0))</f>
        <v>plural noun</v>
      </c>
      <c r="AH240" s="9" t="s">
        <v>13</v>
      </c>
      <c r="AI240" s="9" t="str">
        <f>INDEX('Brown-Universal mapping'!$B:$B,MATCH(AF240,'Brown-Universal mapping'!$A:$A,0))</f>
        <v>NOUN</v>
      </c>
      <c r="AJ240" s="9">
        <f t="shared" si="37"/>
        <v>1</v>
      </c>
      <c r="AK240" s="9">
        <f t="shared" si="38"/>
        <v>1</v>
      </c>
      <c r="AM240" s="6">
        <f t="shared" si="41"/>
        <v>2</v>
      </c>
      <c r="AN240" s="6">
        <f t="shared" si="42"/>
        <v>2</v>
      </c>
      <c r="AP240" s="6" t="str">
        <f t="shared" si="43"/>
        <v>plural noun2</v>
      </c>
    </row>
    <row r="241" spans="1:42" x14ac:dyDescent="0.25">
      <c r="A241" s="4" t="s">
        <v>210</v>
      </c>
      <c r="D241" s="3" t="s">
        <v>35</v>
      </c>
      <c r="E241" s="3" t="str">
        <f>INDEX('Brown tagset'!$B:$B,MATCH(IF(ISERROR(FIND("-",D241)),IF(ISERROR(FIND("+",D241)),D241,LEFT(D241,FIND("+",D241)-1)),LEFT(D241,FIND("-",D241)-1)),'Brown tagset'!$A:$A,0))</f>
        <v>verb, base form</v>
      </c>
      <c r="F241" s="3"/>
      <c r="G241" s="3" t="str">
        <f>INDEX('Brown-Universal mapping'!$B:$B,MATCH(D241,'Brown-Universal mapping'!$A:$A,0))</f>
        <v>VERB</v>
      </c>
      <c r="I241" s="5" t="s">
        <v>45</v>
      </c>
      <c r="J241" s="5" t="str">
        <f>INDEX('Brown tagset'!$B:$B,MATCH(IF(ISERROR(FIND("-",I241)),IF(ISERROR(FIND("+",I241)),I241,LEFT(I241,FIND("+",I241)-1)),LEFT(I241,FIND("-",I241)-1)),'Brown tagset'!$A:$A,0))</f>
        <v>adjective</v>
      </c>
      <c r="K241" s="5" t="s">
        <v>46</v>
      </c>
      <c r="L241" s="5" t="str">
        <f>INDEX('Brown-Universal mapping'!$B:$B,MATCH(I241,'Brown-Universal mapping'!$A:$A,0))</f>
        <v>ADJ</v>
      </c>
      <c r="M241" s="5">
        <f t="shared" si="33"/>
        <v>0</v>
      </c>
      <c r="N241" s="5">
        <f t="shared" si="34"/>
        <v>0</v>
      </c>
      <c r="P241" s="12" t="s">
        <v>210</v>
      </c>
      <c r="Q241" s="7" t="s">
        <v>296</v>
      </c>
      <c r="R241" s="7" t="str">
        <f>INDEX('Brown tagset'!$B:$B,MATCH(IF(ISERROR(FIND("-",Q241)),IF(ISERROR(FIND("+",Q241)),Q241,LEFT(Q241,FIND("+",Q241)-1)),LEFT(Q241,FIND("-",Q241)-1)),'Brown tagset'!$A:$A,0))</f>
        <v>verb, base form</v>
      </c>
      <c r="S241" s="7"/>
      <c r="T241" s="7" t="str">
        <f>INDEX('Brown-Universal mapping'!$B:$B,MATCH(Q241,'Brown-Universal mapping'!$A:$A,0))</f>
        <v>VERB</v>
      </c>
      <c r="U241" s="7">
        <f t="shared" si="35"/>
        <v>1</v>
      </c>
      <c r="V241" s="7">
        <f t="shared" si="36"/>
        <v>1</v>
      </c>
      <c r="X241" s="12" t="s">
        <v>210</v>
      </c>
      <c r="Y241" s="7" t="s">
        <v>296</v>
      </c>
      <c r="Z241" s="7" t="str">
        <f>INDEX('Brown tagset'!$B:$B,MATCH(IF(ISERROR(FIND("-",Y241)),IF(ISERROR(FIND("+",Y241)),Y241,LEFT(Y241,FIND("+",Y241)-1)),LEFT(Y241,FIND("-",Y241)-1)),'Brown tagset'!$A:$A,0))</f>
        <v>verb, base form</v>
      </c>
      <c r="AA241" s="7"/>
      <c r="AB241" s="7" t="str">
        <f>INDEX('Brown-Universal mapping'!$B:$B,MATCH(Y241,'Brown-Universal mapping'!$A:$A,0))</f>
        <v>VERB</v>
      </c>
      <c r="AC241" s="7">
        <f t="shared" si="39"/>
        <v>1</v>
      </c>
      <c r="AD241" s="7">
        <f t="shared" si="40"/>
        <v>1</v>
      </c>
      <c r="AF241" s="9" t="s">
        <v>35</v>
      </c>
      <c r="AG241" s="9" t="str">
        <f>INDEX('Brown tagset'!$B:$B,MATCH(IF(ISERROR(FIND("-",AF241)),IF(ISERROR(FIND("+",AF241)),AF241,LEFT(AF241,FIND("+",AF241)-1)),LEFT(AF241,FIND("-",AF241)-1)),'Brown tagset'!$A:$A,0))</f>
        <v>verb, base form</v>
      </c>
      <c r="AH241" s="9" t="s">
        <v>10</v>
      </c>
      <c r="AI241" s="9" t="str">
        <f>INDEX('Brown-Universal mapping'!$B:$B,MATCH(AF241,'Brown-Universal mapping'!$A:$A,0))</f>
        <v>VERB</v>
      </c>
      <c r="AJ241" s="9">
        <f t="shared" si="37"/>
        <v>1</v>
      </c>
      <c r="AK241" s="9">
        <f t="shared" si="38"/>
        <v>1</v>
      </c>
      <c r="AM241" s="6">
        <f t="shared" si="41"/>
        <v>2</v>
      </c>
      <c r="AN241" s="6">
        <f t="shared" si="42"/>
        <v>2</v>
      </c>
      <c r="AP241" s="6" t="str">
        <f t="shared" si="43"/>
        <v>verb, base form2</v>
      </c>
    </row>
    <row r="242" spans="1:42" x14ac:dyDescent="0.25">
      <c r="A242" s="4" t="s">
        <v>211</v>
      </c>
      <c r="B242" s="29">
        <v>1</v>
      </c>
      <c r="C242" s="4">
        <v>1</v>
      </c>
      <c r="D242" s="3" t="s">
        <v>212</v>
      </c>
      <c r="E242" s="3" t="str">
        <f>INDEX('Brown tagset'!$B:$B,MATCH(IF(ISERROR(FIND("-",D242)),IF(ISERROR(FIND("+",D242)),D242,LEFT(D242,FIND("+",D242)-1)),LEFT(D242,FIND("-",D242)-1)),'Brown tagset'!$A:$A,0))</f>
        <v>superlative adverb</v>
      </c>
      <c r="F242" s="3"/>
      <c r="G242" s="3" t="str">
        <f>INDEX('Brown-Universal mapping'!$B:$B,MATCH(D242,'Brown-Universal mapping'!$A:$A,0))</f>
        <v>ADV</v>
      </c>
      <c r="I242" s="5" t="s">
        <v>213</v>
      </c>
      <c r="J242" s="5" t="str">
        <f>INDEX('Brown tagset'!$B:$B,MATCH(IF(ISERROR(FIND("-",I242)),IF(ISERROR(FIND("+",I242)),I242,LEFT(I242,FIND("+",I242)-1)),LEFT(I242,FIND("-",I242)-1)),'Brown tagset'!$A:$A,0))</f>
        <v>morphologically superlative adjective (biggest)</v>
      </c>
      <c r="K242" s="5" t="s">
        <v>2</v>
      </c>
      <c r="L242" s="5" t="str">
        <f>INDEX('Brown-Universal mapping'!$B:$B,MATCH(I242,'Brown-Universal mapping'!$A:$A,0))</f>
        <v>ADJ</v>
      </c>
      <c r="M242" s="5">
        <f t="shared" si="33"/>
        <v>0</v>
      </c>
      <c r="N242" s="5">
        <f t="shared" si="34"/>
        <v>0</v>
      </c>
      <c r="P242" s="12" t="s">
        <v>211</v>
      </c>
      <c r="Q242" s="7" t="s">
        <v>329</v>
      </c>
      <c r="R242" s="7" t="str">
        <f>INDEX('Brown tagset'!$B:$B,MATCH(IF(ISERROR(FIND("-",Q242)),IF(ISERROR(FIND("+",Q242)),Q242,LEFT(Q242,FIND("+",Q242)-1)),LEFT(Q242,FIND("-",Q242)-1)),'Brown tagset'!$A:$A,0))</f>
        <v>morphologically superlative adjective (biggest)</v>
      </c>
      <c r="S242" s="7"/>
      <c r="T242" s="7" t="str">
        <f>INDEX('Brown-Universal mapping'!$B:$B,MATCH(Q242,'Brown-Universal mapping'!$A:$A,0))</f>
        <v>ADJ</v>
      </c>
      <c r="U242" s="7">
        <f t="shared" si="35"/>
        <v>0</v>
      </c>
      <c r="V242" s="7">
        <f t="shared" si="36"/>
        <v>0</v>
      </c>
      <c r="X242" s="12" t="s">
        <v>211</v>
      </c>
      <c r="Y242" s="7" t="s">
        <v>329</v>
      </c>
      <c r="Z242" s="7" t="str">
        <f>INDEX('Brown tagset'!$B:$B,MATCH(IF(ISERROR(FIND("-",Y242)),IF(ISERROR(FIND("+",Y242)),Y242,LEFT(Y242,FIND("+",Y242)-1)),LEFT(Y242,FIND("-",Y242)-1)),'Brown tagset'!$A:$A,0))</f>
        <v>morphologically superlative adjective (biggest)</v>
      </c>
      <c r="AA242" s="7"/>
      <c r="AB242" s="7" t="str">
        <f>INDEX('Brown-Universal mapping'!$B:$B,MATCH(Y242,'Brown-Universal mapping'!$A:$A,0))</f>
        <v>ADJ</v>
      </c>
      <c r="AC242" s="7">
        <f t="shared" si="39"/>
        <v>0</v>
      </c>
      <c r="AD242" s="7">
        <f t="shared" si="40"/>
        <v>0</v>
      </c>
      <c r="AF242" s="9" t="s">
        <v>212</v>
      </c>
      <c r="AG242" s="9" t="str">
        <f>INDEX('Brown tagset'!$B:$B,MATCH(IF(ISERROR(FIND("-",AF242)),IF(ISERROR(FIND("+",AF242)),AF242,LEFT(AF242,FIND("+",AF242)-1)),LEFT(AF242,FIND("-",AF242)-1)),'Brown tagset'!$A:$A,0))</f>
        <v>superlative adverb</v>
      </c>
      <c r="AH242" s="9" t="s">
        <v>2</v>
      </c>
      <c r="AI242" s="9" t="str">
        <f>INDEX('Brown-Universal mapping'!$B:$B,MATCH(AF242,'Brown-Universal mapping'!$A:$A,0))</f>
        <v>ADV</v>
      </c>
      <c r="AJ242" s="9">
        <f t="shared" si="37"/>
        <v>1</v>
      </c>
      <c r="AK242" s="9">
        <f t="shared" si="38"/>
        <v>1</v>
      </c>
      <c r="AM242" s="6">
        <f t="shared" si="41"/>
        <v>1</v>
      </c>
      <c r="AN242" s="6">
        <f t="shared" si="42"/>
        <v>1</v>
      </c>
      <c r="AP242" s="6" t="str">
        <f t="shared" si="43"/>
        <v>superlative adverb1</v>
      </c>
    </row>
    <row r="243" spans="1:42" x14ac:dyDescent="0.25">
      <c r="A243" s="29" t="s">
        <v>214</v>
      </c>
      <c r="B243" s="29"/>
      <c r="D243" s="3" t="s">
        <v>59</v>
      </c>
      <c r="E243" s="3" t="str">
        <f>INDEX('Brown tagset'!$B:$B,MATCH(IF(ISERROR(FIND("-",D243)),IF(ISERROR(FIND("+",D243)),D243,LEFT(D243,FIND("+",D243)-1)),LEFT(D243,FIND("-",D243)-1)),'Brown tagset'!$A:$A,0))</f>
        <v>preposition</v>
      </c>
      <c r="F243" s="3"/>
      <c r="G243" s="3" t="str">
        <f>INDEX('Brown-Universal mapping'!$B:$B,MATCH(D243,'Brown-Universal mapping'!$A:$A,0))</f>
        <v>ADP</v>
      </c>
      <c r="I243" s="5" t="s">
        <v>59</v>
      </c>
      <c r="J243" s="5" t="str">
        <f>INDEX('Brown tagset'!$B:$B,MATCH(IF(ISERROR(FIND("-",I243)),IF(ISERROR(FIND("+",I243)),I243,LEFT(I243,FIND("+",I243)-1)),LEFT(I243,FIND("-",I243)-1)),'Brown tagset'!$A:$A,0))</f>
        <v>preposition</v>
      </c>
      <c r="K243" s="5" t="s">
        <v>60</v>
      </c>
      <c r="L243" s="5" t="str">
        <f>INDEX('Brown-Universal mapping'!$B:$B,MATCH(I243,'Brown-Universal mapping'!$A:$A,0))</f>
        <v>ADP</v>
      </c>
      <c r="M243" s="5">
        <f t="shared" si="33"/>
        <v>1</v>
      </c>
      <c r="N243" s="5">
        <f t="shared" si="34"/>
        <v>1</v>
      </c>
      <c r="P243" s="12" t="s">
        <v>214</v>
      </c>
      <c r="Q243" s="7" t="s">
        <v>124</v>
      </c>
      <c r="R243" s="7" t="str">
        <f>INDEX('Brown tagset'!$B:$B,MATCH(IF(ISERROR(FIND("-",Q243)),IF(ISERROR(FIND("+",Q243)),Q243,LEFT(Q243,FIND("+",Q243)-1)),LEFT(Q243,FIND("-",Q243)-1)),'Brown tagset'!$A:$A,0))</f>
        <v>preposition</v>
      </c>
      <c r="S243" s="7"/>
      <c r="T243" s="7" t="str">
        <f>INDEX('Brown-Universal mapping'!$B:$B,MATCH(Q243,'Brown-Universal mapping'!$A:$A,0))</f>
        <v>ADP</v>
      </c>
      <c r="U243" s="7">
        <f t="shared" si="35"/>
        <v>1</v>
      </c>
      <c r="V243" s="7">
        <f t="shared" si="36"/>
        <v>1</v>
      </c>
      <c r="X243" s="12" t="s">
        <v>214</v>
      </c>
      <c r="Y243" s="7" t="s">
        <v>124</v>
      </c>
      <c r="Z243" s="7" t="str">
        <f>INDEX('Brown tagset'!$B:$B,MATCH(IF(ISERROR(FIND("-",Y243)),IF(ISERROR(FIND("+",Y243)),Y243,LEFT(Y243,FIND("+",Y243)-1)),LEFT(Y243,FIND("-",Y243)-1)),'Brown tagset'!$A:$A,0))</f>
        <v>preposition</v>
      </c>
      <c r="AA243" s="7"/>
      <c r="AB243" s="7" t="str">
        <f>INDEX('Brown-Universal mapping'!$B:$B,MATCH(Y243,'Brown-Universal mapping'!$A:$A,0))</f>
        <v>ADP</v>
      </c>
      <c r="AC243" s="7">
        <f t="shared" si="39"/>
        <v>1</v>
      </c>
      <c r="AD243" s="7">
        <f t="shared" si="40"/>
        <v>1</v>
      </c>
      <c r="AF243" s="9" t="s">
        <v>59</v>
      </c>
      <c r="AG243" s="9" t="str">
        <f>INDEX('Brown tagset'!$B:$B,MATCH(IF(ISERROR(FIND("-",AF243)),IF(ISERROR(FIND("+",AF243)),AF243,LEFT(AF243,FIND("+",AF243)-1)),LEFT(AF243,FIND("-",AF243)-1)),'Brown tagset'!$A:$A,0))</f>
        <v>preposition</v>
      </c>
      <c r="AH243" s="9" t="s">
        <v>60</v>
      </c>
      <c r="AI243" s="9" t="str">
        <f>INDEX('Brown-Universal mapping'!$B:$B,MATCH(AF243,'Brown-Universal mapping'!$A:$A,0))</f>
        <v>ADP</v>
      </c>
      <c r="AJ243" s="9">
        <f t="shared" si="37"/>
        <v>1</v>
      </c>
      <c r="AK243" s="9">
        <f t="shared" si="38"/>
        <v>1</v>
      </c>
      <c r="AM243" s="6">
        <f t="shared" si="41"/>
        <v>3</v>
      </c>
      <c r="AN243" s="6">
        <f t="shared" si="42"/>
        <v>3</v>
      </c>
      <c r="AP243" s="6" t="str">
        <f t="shared" si="43"/>
        <v>preposition3</v>
      </c>
    </row>
    <row r="244" spans="1:42" x14ac:dyDescent="0.25">
      <c r="A244" s="29" t="s">
        <v>215</v>
      </c>
      <c r="B244" s="29"/>
      <c r="D244" s="3" t="s">
        <v>113</v>
      </c>
      <c r="E244" s="3" t="str">
        <f>INDEX('Brown tagset'!$B:$B,MATCH(IF(ISERROR(FIND("-",D244)),IF(ISERROR(FIND("+",D244)),D244,LEFT(D244,FIND("+",D244)-1)),LEFT(D244,FIND("-",D244)-1)),'Brown tagset'!$A:$A,0))</f>
        <v>objective personal pronoun (me, him, it, them)</v>
      </c>
      <c r="F244" s="3"/>
      <c r="G244" s="3" t="str">
        <f>INDEX('Brown-Universal mapping'!$B:$B,MATCH(D244,'Brown-Universal mapping'!$A:$A,0))</f>
        <v>PRON</v>
      </c>
      <c r="I244" s="5" t="s">
        <v>113</v>
      </c>
      <c r="J244" s="5" t="str">
        <f>INDEX('Brown tagset'!$B:$B,MATCH(IF(ISERROR(FIND("-",I244)),IF(ISERROR(FIND("+",I244)),I244,LEFT(I244,FIND("+",I244)-1)),LEFT(I244,FIND("-",I244)-1)),'Brown tagset'!$A:$A,0))</f>
        <v>objective personal pronoun (me, him, it, them)</v>
      </c>
      <c r="K244" s="5" t="s">
        <v>2</v>
      </c>
      <c r="L244" s="5" t="str">
        <f>INDEX('Brown-Universal mapping'!$B:$B,MATCH(I244,'Brown-Universal mapping'!$A:$A,0))</f>
        <v>PRON</v>
      </c>
      <c r="M244" s="5">
        <f t="shared" si="33"/>
        <v>1</v>
      </c>
      <c r="N244" s="5">
        <f t="shared" si="34"/>
        <v>1</v>
      </c>
      <c r="P244" s="12" t="s">
        <v>215</v>
      </c>
      <c r="Q244" s="7" t="s">
        <v>316</v>
      </c>
      <c r="R244" s="7" t="str">
        <f>INDEX('Brown tagset'!$B:$B,MATCH(IF(ISERROR(FIND("-",Q244)),IF(ISERROR(FIND("+",Q244)),Q244,LEFT(Q244,FIND("+",Q244)-1)),LEFT(Q244,FIND("-",Q244)-1)),'Brown tagset'!$A:$A,0))</f>
        <v>objective personal pronoun (me, him, it, them)</v>
      </c>
      <c r="S244" s="7"/>
      <c r="T244" s="7" t="str">
        <f>INDEX('Brown-Universal mapping'!$B:$B,MATCH(Q244,'Brown-Universal mapping'!$A:$A,0))</f>
        <v>PRON</v>
      </c>
      <c r="U244" s="7">
        <f t="shared" si="35"/>
        <v>1</v>
      </c>
      <c r="V244" s="7">
        <f t="shared" si="36"/>
        <v>1</v>
      </c>
      <c r="X244" s="12" t="s">
        <v>215</v>
      </c>
      <c r="Y244" s="7" t="s">
        <v>316</v>
      </c>
      <c r="Z244" s="7" t="str">
        <f>INDEX('Brown tagset'!$B:$B,MATCH(IF(ISERROR(FIND("-",Y244)),IF(ISERROR(FIND("+",Y244)),Y244,LEFT(Y244,FIND("+",Y244)-1)),LEFT(Y244,FIND("-",Y244)-1)),'Brown tagset'!$A:$A,0))</f>
        <v>objective personal pronoun (me, him, it, them)</v>
      </c>
      <c r="AA244" s="7"/>
      <c r="AB244" s="7" t="str">
        <f>INDEX('Brown-Universal mapping'!$B:$B,MATCH(Y244,'Brown-Universal mapping'!$A:$A,0))</f>
        <v>PRON</v>
      </c>
      <c r="AC244" s="7">
        <f t="shared" si="39"/>
        <v>1</v>
      </c>
      <c r="AD244" s="7">
        <f t="shared" si="40"/>
        <v>1</v>
      </c>
      <c r="AF244" s="9" t="s">
        <v>113</v>
      </c>
      <c r="AG244" s="9" t="str">
        <f>INDEX('Brown tagset'!$B:$B,MATCH(IF(ISERROR(FIND("-",AF244)),IF(ISERROR(FIND("+",AF244)),AF244,LEFT(AF244,FIND("+",AF244)-1)),LEFT(AF244,FIND("-",AF244)-1)),'Brown tagset'!$A:$A,0))</f>
        <v>objective personal pronoun (me, him, it, them)</v>
      </c>
      <c r="AH244" s="9" t="s">
        <v>2</v>
      </c>
      <c r="AI244" s="9" t="str">
        <f>INDEX('Brown-Universal mapping'!$B:$B,MATCH(AF244,'Brown-Universal mapping'!$A:$A,0))</f>
        <v>PRON</v>
      </c>
      <c r="AJ244" s="9">
        <f t="shared" si="37"/>
        <v>1</v>
      </c>
      <c r="AK244" s="9">
        <f t="shared" si="38"/>
        <v>1</v>
      </c>
      <c r="AM244" s="6">
        <f t="shared" si="41"/>
        <v>3</v>
      </c>
      <c r="AN244" s="6">
        <f t="shared" si="42"/>
        <v>3</v>
      </c>
      <c r="AP244" s="6" t="str">
        <f t="shared" si="43"/>
        <v>objective personal pronoun (me, him, it, them)3</v>
      </c>
    </row>
    <row r="245" spans="1:42" x14ac:dyDescent="0.25">
      <c r="A245" s="29" t="s">
        <v>133</v>
      </c>
      <c r="B245" s="29"/>
      <c r="D245" s="3" t="s">
        <v>26</v>
      </c>
      <c r="E245" s="3" t="str">
        <f>INDEX('Brown tagset'!$B:$B,MATCH(IF(ISERROR(FIND("-",D245)),IF(ISERROR(FIND("+",D245)),D245,LEFT(D245,FIND("+",D245)-1)),LEFT(D245,FIND("-",D245)-1)),'Brown tagset'!$A:$A,0))</f>
        <v>coordinating conjunction (and, or)</v>
      </c>
      <c r="F245" s="3"/>
      <c r="G245" s="3" t="str">
        <f>INDEX('Brown-Universal mapping'!$B:$B,MATCH(D245,'Brown-Universal mapping'!$A:$A,0))</f>
        <v>CONJ</v>
      </c>
      <c r="I245" s="5" t="s">
        <v>26</v>
      </c>
      <c r="J245" s="5" t="str">
        <f>INDEX('Brown tagset'!$B:$B,MATCH(IF(ISERROR(FIND("-",I245)),IF(ISERROR(FIND("+",I245)),I245,LEFT(I245,FIND("+",I245)-1)),LEFT(I245,FIND("-",I245)-1)),'Brown tagset'!$A:$A,0))</f>
        <v>coordinating conjunction (and, or)</v>
      </c>
      <c r="K245" s="5" t="s">
        <v>27</v>
      </c>
      <c r="L245" s="5" t="str">
        <f>INDEX('Brown-Universal mapping'!$B:$B,MATCH(I245,'Brown-Universal mapping'!$A:$A,0))</f>
        <v>CONJ</v>
      </c>
      <c r="M245" s="5">
        <f t="shared" si="33"/>
        <v>1</v>
      </c>
      <c r="N245" s="5">
        <f t="shared" si="34"/>
        <v>1</v>
      </c>
      <c r="P245" s="12" t="s">
        <v>133</v>
      </c>
      <c r="Q245" s="7" t="s">
        <v>293</v>
      </c>
      <c r="R245" s="7" t="str">
        <f>INDEX('Brown tagset'!$B:$B,MATCH(IF(ISERROR(FIND("-",Q245)),IF(ISERROR(FIND("+",Q245)),Q245,LEFT(Q245,FIND("+",Q245)-1)),LEFT(Q245,FIND("-",Q245)-1)),'Brown tagset'!$A:$A,0))</f>
        <v>coordinating conjunction (and, or)</v>
      </c>
      <c r="S245" s="7"/>
      <c r="T245" s="7" t="str">
        <f>INDEX('Brown-Universal mapping'!$B:$B,MATCH(Q245,'Brown-Universal mapping'!$A:$A,0))</f>
        <v>CONJ</v>
      </c>
      <c r="U245" s="7">
        <f t="shared" si="35"/>
        <v>1</v>
      </c>
      <c r="V245" s="7">
        <f t="shared" si="36"/>
        <v>1</v>
      </c>
      <c r="X245" s="12" t="s">
        <v>133</v>
      </c>
      <c r="Y245" s="7" t="s">
        <v>293</v>
      </c>
      <c r="Z245" s="7" t="str">
        <f>INDEX('Brown tagset'!$B:$B,MATCH(IF(ISERROR(FIND("-",Y245)),IF(ISERROR(FIND("+",Y245)),Y245,LEFT(Y245,FIND("+",Y245)-1)),LEFT(Y245,FIND("-",Y245)-1)),'Brown tagset'!$A:$A,0))</f>
        <v>coordinating conjunction (and, or)</v>
      </c>
      <c r="AA245" s="7"/>
      <c r="AB245" s="7" t="str">
        <f>INDEX('Brown-Universal mapping'!$B:$B,MATCH(Y245,'Brown-Universal mapping'!$A:$A,0))</f>
        <v>CONJ</v>
      </c>
      <c r="AC245" s="7">
        <f t="shared" si="39"/>
        <v>1</v>
      </c>
      <c r="AD245" s="7">
        <f t="shared" si="40"/>
        <v>1</v>
      </c>
      <c r="AF245" s="9" t="s">
        <v>26</v>
      </c>
      <c r="AG245" s="9" t="str">
        <f>INDEX('Brown tagset'!$B:$B,MATCH(IF(ISERROR(FIND("-",AF245)),IF(ISERROR(FIND("+",AF245)),AF245,LEFT(AF245,FIND("+",AF245)-1)),LEFT(AF245,FIND("-",AF245)-1)),'Brown tagset'!$A:$A,0))</f>
        <v>coordinating conjunction (and, or)</v>
      </c>
      <c r="AH245" s="9" t="s">
        <v>27</v>
      </c>
      <c r="AI245" s="9" t="str">
        <f>INDEX('Brown-Universal mapping'!$B:$B,MATCH(AF245,'Brown-Universal mapping'!$A:$A,0))</f>
        <v>CONJ</v>
      </c>
      <c r="AJ245" s="9">
        <f t="shared" si="37"/>
        <v>1</v>
      </c>
      <c r="AK245" s="9">
        <f t="shared" si="38"/>
        <v>1</v>
      </c>
      <c r="AM245" s="6">
        <f t="shared" si="41"/>
        <v>3</v>
      </c>
      <c r="AN245" s="6">
        <f t="shared" si="42"/>
        <v>3</v>
      </c>
      <c r="AP245" s="6" t="str">
        <f t="shared" si="43"/>
        <v>coordinating conjunction (and, or)3</v>
      </c>
    </row>
    <row r="246" spans="1:42" x14ac:dyDescent="0.25">
      <c r="A246" s="29" t="s">
        <v>208</v>
      </c>
      <c r="B246" s="29"/>
      <c r="D246" s="3" t="s">
        <v>83</v>
      </c>
      <c r="E246" s="3" t="str">
        <f>INDEX('Brown tagset'!$B:$B,MATCH(IF(ISERROR(FIND("-",D246)),IF(ISERROR(FIND("+",D246)),D246,LEFT(D246,FIND("+",D246)-1)),LEFT(D246,FIND("-",D246)-1)),'Brown tagset'!$A:$A,0))</f>
        <v>wh- determiner (what, which)</v>
      </c>
      <c r="F246" s="3"/>
      <c r="G246" s="3" t="str">
        <f>INDEX('Brown-Universal mapping'!$B:$B,MATCH(D246,'Brown-Universal mapping'!$A:$A,0))</f>
        <v>DET</v>
      </c>
      <c r="I246" s="5" t="s">
        <v>83</v>
      </c>
      <c r="J246" s="5" t="str">
        <f>INDEX('Brown tagset'!$B:$B,MATCH(IF(ISERROR(FIND("-",I246)),IF(ISERROR(FIND("+",I246)),I246,LEFT(I246,FIND("+",I246)-1)),LEFT(I246,FIND("-",I246)-1)),'Brown tagset'!$A:$A,0))</f>
        <v>wh- determiner (what, which)</v>
      </c>
      <c r="K246" s="5" t="s">
        <v>84</v>
      </c>
      <c r="L246" s="5" t="str">
        <f>INDEX('Brown-Universal mapping'!$B:$B,MATCH(I246,'Brown-Universal mapping'!$A:$A,0))</f>
        <v>DET</v>
      </c>
      <c r="M246" s="5">
        <f t="shared" si="33"/>
        <v>1</v>
      </c>
      <c r="N246" s="5">
        <f t="shared" si="34"/>
        <v>1</v>
      </c>
      <c r="P246" s="12" t="s">
        <v>208</v>
      </c>
      <c r="Q246" s="7" t="s">
        <v>306</v>
      </c>
      <c r="R246" s="7" t="str">
        <f>INDEX('Brown tagset'!$B:$B,MATCH(IF(ISERROR(FIND("-",Q246)),IF(ISERROR(FIND("+",Q246)),Q246,LEFT(Q246,FIND("+",Q246)-1)),LEFT(Q246,FIND("-",Q246)-1)),'Brown tagset'!$A:$A,0))</f>
        <v>wh- determiner (what, which)</v>
      </c>
      <c r="S246" s="7"/>
      <c r="T246" s="7" t="str">
        <f>INDEX('Brown-Universal mapping'!$B:$B,MATCH(Q246,'Brown-Universal mapping'!$A:$A,0))</f>
        <v>DET</v>
      </c>
      <c r="U246" s="7">
        <f t="shared" si="35"/>
        <v>1</v>
      </c>
      <c r="V246" s="7">
        <f t="shared" si="36"/>
        <v>1</v>
      </c>
      <c r="X246" s="12" t="s">
        <v>208</v>
      </c>
      <c r="Y246" s="7" t="s">
        <v>306</v>
      </c>
      <c r="Z246" s="7" t="str">
        <f>INDEX('Brown tagset'!$B:$B,MATCH(IF(ISERROR(FIND("-",Y246)),IF(ISERROR(FIND("+",Y246)),Y246,LEFT(Y246,FIND("+",Y246)-1)),LEFT(Y246,FIND("-",Y246)-1)),'Brown tagset'!$A:$A,0))</f>
        <v>wh- determiner (what, which)</v>
      </c>
      <c r="AA246" s="7"/>
      <c r="AB246" s="7" t="str">
        <f>INDEX('Brown-Universal mapping'!$B:$B,MATCH(Y246,'Brown-Universal mapping'!$A:$A,0))</f>
        <v>DET</v>
      </c>
      <c r="AC246" s="7">
        <f t="shared" si="39"/>
        <v>1</v>
      </c>
      <c r="AD246" s="7">
        <f t="shared" si="40"/>
        <v>1</v>
      </c>
      <c r="AF246" s="9" t="s">
        <v>83</v>
      </c>
      <c r="AG246" s="9" t="str">
        <f>INDEX('Brown tagset'!$B:$B,MATCH(IF(ISERROR(FIND("-",AF246)),IF(ISERROR(FIND("+",AF246)),AF246,LEFT(AF246,FIND("+",AF246)-1)),LEFT(AF246,FIND("-",AF246)-1)),'Brown tagset'!$A:$A,0))</f>
        <v>wh- determiner (what, which)</v>
      </c>
      <c r="AH246" s="9" t="s">
        <v>84</v>
      </c>
      <c r="AI246" s="9" t="str">
        <f>INDEX('Brown-Universal mapping'!$B:$B,MATCH(AF246,'Brown-Universal mapping'!$A:$A,0))</f>
        <v>DET</v>
      </c>
      <c r="AJ246" s="9">
        <f t="shared" si="37"/>
        <v>1</v>
      </c>
      <c r="AK246" s="9">
        <f t="shared" si="38"/>
        <v>1</v>
      </c>
      <c r="AM246" s="6">
        <f t="shared" si="41"/>
        <v>3</v>
      </c>
      <c r="AN246" s="6">
        <f t="shared" si="42"/>
        <v>3</v>
      </c>
      <c r="AP246" s="6" t="str">
        <f t="shared" si="43"/>
        <v>wh- determiner (what, which)3</v>
      </c>
    </row>
    <row r="247" spans="1:42" x14ac:dyDescent="0.25">
      <c r="A247" s="26" t="s">
        <v>216</v>
      </c>
      <c r="B247" s="26"/>
      <c r="D247" s="3" t="s">
        <v>66</v>
      </c>
      <c r="E247" s="3" t="str">
        <f>INDEX('Brown tagset'!$B:$B,MATCH(IF(ISERROR(FIND("-",D247)),IF(ISERROR(FIND("+",D247)),D247,LEFT(D247,FIND("+",D247)-1)),LEFT(D247,FIND("-",D247)-1)),'Brown tagset'!$A:$A,0))</f>
        <v>proper noun or part of name phrase</v>
      </c>
      <c r="F247" s="3"/>
      <c r="G247" s="3" t="str">
        <f>INDEX('Brown-Universal mapping'!$B:$B,MATCH(D247,'Brown-Universal mapping'!$A:$A,0))</f>
        <v>NOUN</v>
      </c>
      <c r="I247" s="5" t="s">
        <v>181</v>
      </c>
      <c r="J247" s="5" t="str">
        <f>INDEX('Brown tagset'!$B:$B,MATCH(IF(ISERROR(FIND("-",I247)),IF(ISERROR(FIND("+",I247)),I247,LEFT(I247,FIND("+",I247)-1)),LEFT(I247,FIND("-",I247)-1)),'Brown tagset'!$A:$A,0))</f>
        <v>singular or mass noun</v>
      </c>
      <c r="K247" s="5" t="s">
        <v>2</v>
      </c>
      <c r="L247" s="5" t="str">
        <f>INDEX('Brown-Universal mapping'!$B:$B,MATCH(I247,'Brown-Universal mapping'!$A:$A,0))</f>
        <v>NOUN</v>
      </c>
      <c r="M247" s="5">
        <f t="shared" si="33"/>
        <v>0</v>
      </c>
      <c r="N247" s="5">
        <f t="shared" si="34"/>
        <v>1</v>
      </c>
      <c r="P247" s="12" t="s">
        <v>216</v>
      </c>
      <c r="Q247" s="7" t="s">
        <v>287</v>
      </c>
      <c r="R247" s="7" t="str">
        <f>INDEX('Brown tagset'!$B:$B,MATCH(IF(ISERROR(FIND("-",Q247)),IF(ISERROR(FIND("+",Q247)),Q247,LEFT(Q247,FIND("+",Q247)-1)),LEFT(Q247,FIND("-",Q247)-1)),'Brown tagset'!$A:$A,0))</f>
        <v>proper noun or part of name phrase</v>
      </c>
      <c r="S247" s="7"/>
      <c r="T247" s="7" t="str">
        <f>INDEX('Brown-Universal mapping'!$B:$B,MATCH(Q247,'Brown-Universal mapping'!$A:$A,0))</f>
        <v>NOUN</v>
      </c>
      <c r="U247" s="7">
        <f t="shared" si="35"/>
        <v>1</v>
      </c>
      <c r="V247" s="7">
        <f t="shared" si="36"/>
        <v>1</v>
      </c>
      <c r="X247" s="12" t="s">
        <v>216</v>
      </c>
      <c r="Y247" s="7" t="s">
        <v>287</v>
      </c>
      <c r="Z247" s="7" t="str">
        <f>INDEX('Brown tagset'!$B:$B,MATCH(IF(ISERROR(FIND("-",Y247)),IF(ISERROR(FIND("+",Y247)),Y247,LEFT(Y247,FIND("+",Y247)-1)),LEFT(Y247,FIND("-",Y247)-1)),'Brown tagset'!$A:$A,0))</f>
        <v>proper noun or part of name phrase</v>
      </c>
      <c r="AA247" s="7"/>
      <c r="AB247" s="7" t="str">
        <f>INDEX('Brown-Universal mapping'!$B:$B,MATCH(Y247,'Brown-Universal mapping'!$A:$A,0))</f>
        <v>NOUN</v>
      </c>
      <c r="AC247" s="7">
        <f t="shared" si="39"/>
        <v>1</v>
      </c>
      <c r="AD247" s="7">
        <f t="shared" si="40"/>
        <v>1</v>
      </c>
      <c r="AF247" s="9" t="s">
        <v>340</v>
      </c>
      <c r="AG247" s="9" t="str">
        <f>INDEX('Brown tagset'!$B:$B,MATCH(IF(ISERROR(FIND("-",AF247)),IF(ISERROR(FIND("+",AF247)),AF247,LEFT(AF247,FIND("+",AF247)-1)),LEFT(AF247,FIND("-",AF247)-1)),'Brown tagset'!$A:$A,0))</f>
        <v>unknown</v>
      </c>
      <c r="AH247" s="9" t="s">
        <v>2</v>
      </c>
      <c r="AI247" s="9" t="str">
        <f>INDEX('Brown-Universal mapping'!$B:$B,MATCH(AF247,'Brown-Universal mapping'!$A:$A,0))</f>
        <v>Unknown</v>
      </c>
      <c r="AJ247" s="9">
        <f t="shared" si="37"/>
        <v>0</v>
      </c>
      <c r="AK247" s="9">
        <f t="shared" si="38"/>
        <v>0</v>
      </c>
      <c r="AM247" s="6">
        <f t="shared" si="41"/>
        <v>1</v>
      </c>
      <c r="AN247" s="6">
        <f t="shared" si="42"/>
        <v>2</v>
      </c>
      <c r="AP247" s="6" t="str">
        <f t="shared" si="43"/>
        <v>unknown1</v>
      </c>
    </row>
    <row r="248" spans="1:42" x14ac:dyDescent="0.25">
      <c r="A248" s="4" t="s">
        <v>217</v>
      </c>
      <c r="D248" s="3" t="s">
        <v>31</v>
      </c>
      <c r="E248" s="3" t="str">
        <f>INDEX('Brown tagset'!$B:$B,MATCH(IF(ISERROR(FIND("-",D248)),IF(ISERROR(FIND("+",D248)),D248,LEFT(D248,FIND("+",D248)-1)),LEFT(D248,FIND("-",D248)-1)),'Brown tagset'!$A:$A,0))</f>
        <v>plural noun</v>
      </c>
      <c r="F248" s="3"/>
      <c r="G248" s="3" t="str">
        <f>INDEX('Brown-Universal mapping'!$B:$B,MATCH(D248,'Brown-Universal mapping'!$A:$A,0))</f>
        <v>NOUN</v>
      </c>
      <c r="I248" s="5" t="s">
        <v>196</v>
      </c>
      <c r="J248" s="5" t="str">
        <f>INDEX('Brown tagset'!$B:$B,MATCH(IF(ISERROR(FIND("-",I248)),IF(ISERROR(FIND("+",I248)),I248,LEFT(I248,FIND("+",I248)-1)),LEFT(I248,FIND("-",I248)-1)),'Brown tagset'!$A:$A,0))</f>
        <v>verb, 3rd. singular present</v>
      </c>
      <c r="K248" s="5" t="s">
        <v>10</v>
      </c>
      <c r="L248" s="5" t="str">
        <f>INDEX('Brown-Universal mapping'!$B:$B,MATCH(I248,'Brown-Universal mapping'!$A:$A,0))</f>
        <v>VERB</v>
      </c>
      <c r="M248" s="5">
        <f t="shared" si="33"/>
        <v>0</v>
      </c>
      <c r="N248" s="5">
        <f t="shared" si="34"/>
        <v>0</v>
      </c>
      <c r="P248" s="12" t="s">
        <v>217</v>
      </c>
      <c r="Q248" s="7" t="s">
        <v>295</v>
      </c>
      <c r="R248" s="7" t="str">
        <f>INDEX('Brown tagset'!$B:$B,MATCH(IF(ISERROR(FIND("-",Q248)),IF(ISERROR(FIND("+",Q248)),Q248,LEFT(Q248,FIND("+",Q248)-1)),LEFT(Q248,FIND("-",Q248)-1)),'Brown tagset'!$A:$A,0))</f>
        <v>plural noun</v>
      </c>
      <c r="S248" s="7"/>
      <c r="T248" s="7" t="str">
        <f>INDEX('Brown-Universal mapping'!$B:$B,MATCH(Q248,'Brown-Universal mapping'!$A:$A,0))</f>
        <v>NOUN</v>
      </c>
      <c r="U248" s="7">
        <f t="shared" si="35"/>
        <v>1</v>
      </c>
      <c r="V248" s="7">
        <f t="shared" si="36"/>
        <v>1</v>
      </c>
      <c r="X248" s="12" t="s">
        <v>217</v>
      </c>
      <c r="Y248" s="7" t="s">
        <v>295</v>
      </c>
      <c r="Z248" s="7" t="str">
        <f>INDEX('Brown tagset'!$B:$B,MATCH(IF(ISERROR(FIND("-",Y248)),IF(ISERROR(FIND("+",Y248)),Y248,LEFT(Y248,FIND("+",Y248)-1)),LEFT(Y248,FIND("-",Y248)-1)),'Brown tagset'!$A:$A,0))</f>
        <v>plural noun</v>
      </c>
      <c r="AA248" s="7"/>
      <c r="AB248" s="7" t="str">
        <f>INDEX('Brown-Universal mapping'!$B:$B,MATCH(Y248,'Brown-Universal mapping'!$A:$A,0))</f>
        <v>NOUN</v>
      </c>
      <c r="AC248" s="7">
        <f t="shared" si="39"/>
        <v>1</v>
      </c>
      <c r="AD248" s="7">
        <f t="shared" si="40"/>
        <v>1</v>
      </c>
      <c r="AF248" s="9" t="s">
        <v>31</v>
      </c>
      <c r="AG248" s="9" t="str">
        <f>INDEX('Brown tagset'!$B:$B,MATCH(IF(ISERROR(FIND("-",AF248)),IF(ISERROR(FIND("+",AF248)),AF248,LEFT(AF248,FIND("+",AF248)-1)),LEFT(AF248,FIND("-",AF248)-1)),'Brown tagset'!$A:$A,0))</f>
        <v>plural noun</v>
      </c>
      <c r="AH248" s="9" t="s">
        <v>13</v>
      </c>
      <c r="AI248" s="9" t="str">
        <f>INDEX('Brown-Universal mapping'!$B:$B,MATCH(AF248,'Brown-Universal mapping'!$A:$A,0))</f>
        <v>NOUN</v>
      </c>
      <c r="AJ248" s="9">
        <f t="shared" si="37"/>
        <v>1</v>
      </c>
      <c r="AK248" s="9">
        <f t="shared" si="38"/>
        <v>1</v>
      </c>
      <c r="AM248" s="6">
        <f t="shared" si="41"/>
        <v>2</v>
      </c>
      <c r="AN248" s="6">
        <f t="shared" si="42"/>
        <v>2</v>
      </c>
      <c r="AP248" s="6" t="str">
        <f t="shared" si="43"/>
        <v>plural noun2</v>
      </c>
    </row>
    <row r="249" spans="1:42" x14ac:dyDescent="0.25">
      <c r="A249" s="29" t="s">
        <v>16</v>
      </c>
      <c r="B249" s="29"/>
      <c r="D249" s="3" t="s">
        <v>17</v>
      </c>
      <c r="E249" s="3" t="str">
        <f>INDEX('Brown tagset'!$B:$B,MATCH(IF(ISERROR(FIND("-",D249)),IF(ISERROR(FIND("+",D249)),D249,LEFT(D249,FIND("+",D249)-1)),LEFT(D249,FIND("-",D249)-1)),'Brown tagset'!$A:$A,0))</f>
        <v>infinitive marker to</v>
      </c>
      <c r="F249" s="3"/>
      <c r="G249" s="3" t="str">
        <f>INDEX('Brown-Universal mapping'!$B:$B,MATCH(D249,'Brown-Universal mapping'!$A:$A,0))</f>
        <v>PRT</v>
      </c>
      <c r="I249" s="5" t="s">
        <v>17</v>
      </c>
      <c r="J249" s="5" t="str">
        <f>INDEX('Brown tagset'!$B:$B,MATCH(IF(ISERROR(FIND("-",I249)),IF(ISERROR(FIND("+",I249)),I249,LEFT(I249,FIND("+",I249)-1)),LEFT(I249,FIND("-",I249)-1)),'Brown tagset'!$A:$A,0))</f>
        <v>infinitive marker to</v>
      </c>
      <c r="K249" s="5" t="s">
        <v>18</v>
      </c>
      <c r="L249" s="5" t="str">
        <f>INDEX('Brown-Universal mapping'!$B:$B,MATCH(I249,'Brown-Universal mapping'!$A:$A,0))</f>
        <v>PRT</v>
      </c>
      <c r="M249" s="5">
        <f t="shared" si="33"/>
        <v>1</v>
      </c>
      <c r="N249" s="5">
        <f t="shared" si="34"/>
        <v>1</v>
      </c>
      <c r="P249" s="12" t="s">
        <v>16</v>
      </c>
      <c r="Q249" s="7" t="s">
        <v>16</v>
      </c>
      <c r="R249" s="7" t="str">
        <f>INDEX('Brown tagset'!$B:$B,MATCH(IF(ISERROR(FIND("-",Q249)),IF(ISERROR(FIND("+",Q249)),Q249,LEFT(Q249,FIND("+",Q249)-1)),LEFT(Q249,FIND("-",Q249)-1)),'Brown tagset'!$A:$A,0))</f>
        <v>infinitive marker to</v>
      </c>
      <c r="S249" s="7"/>
      <c r="T249" s="7" t="str">
        <f>INDEX('Brown-Universal mapping'!$B:$B,MATCH(Q249,'Brown-Universal mapping'!$A:$A,0))</f>
        <v>PRT</v>
      </c>
      <c r="U249" s="7">
        <f t="shared" si="35"/>
        <v>1</v>
      </c>
      <c r="V249" s="7">
        <f t="shared" si="36"/>
        <v>1</v>
      </c>
      <c r="X249" s="12" t="s">
        <v>16</v>
      </c>
      <c r="Y249" s="7" t="s">
        <v>16</v>
      </c>
      <c r="Z249" s="7" t="str">
        <f>INDEX('Brown tagset'!$B:$B,MATCH(IF(ISERROR(FIND("-",Y249)),IF(ISERROR(FIND("+",Y249)),Y249,LEFT(Y249,FIND("+",Y249)-1)),LEFT(Y249,FIND("-",Y249)-1)),'Brown tagset'!$A:$A,0))</f>
        <v>infinitive marker to</v>
      </c>
      <c r="AA249" s="7"/>
      <c r="AB249" s="7" t="str">
        <f>INDEX('Brown-Universal mapping'!$B:$B,MATCH(Y249,'Brown-Universal mapping'!$A:$A,0))</f>
        <v>PRT</v>
      </c>
      <c r="AC249" s="7">
        <f t="shared" si="39"/>
        <v>1</v>
      </c>
      <c r="AD249" s="7">
        <f t="shared" si="40"/>
        <v>1</v>
      </c>
      <c r="AF249" s="9" t="s">
        <v>17</v>
      </c>
      <c r="AG249" s="9" t="str">
        <f>INDEX('Brown tagset'!$B:$B,MATCH(IF(ISERROR(FIND("-",AF249)),IF(ISERROR(FIND("+",AF249)),AF249,LEFT(AF249,FIND("+",AF249)-1)),LEFT(AF249,FIND("-",AF249)-1)),'Brown tagset'!$A:$A,0))</f>
        <v>infinitive marker to</v>
      </c>
      <c r="AH249" s="9" t="s">
        <v>18</v>
      </c>
      <c r="AI249" s="9" t="str">
        <f>INDEX('Brown-Universal mapping'!$B:$B,MATCH(AF249,'Brown-Universal mapping'!$A:$A,0))</f>
        <v>PRT</v>
      </c>
      <c r="AJ249" s="9">
        <f t="shared" si="37"/>
        <v>1</v>
      </c>
      <c r="AK249" s="9">
        <f t="shared" si="38"/>
        <v>1</v>
      </c>
      <c r="AM249" s="6">
        <f t="shared" si="41"/>
        <v>3</v>
      </c>
      <c r="AN249" s="6">
        <f t="shared" si="42"/>
        <v>3</v>
      </c>
      <c r="AP249" s="6" t="str">
        <f t="shared" si="43"/>
        <v>infinitive marker to3</v>
      </c>
    </row>
    <row r="250" spans="1:42" x14ac:dyDescent="0.25">
      <c r="A250" s="29" t="s">
        <v>218</v>
      </c>
      <c r="B250" s="29"/>
      <c r="D250" s="3" t="s">
        <v>35</v>
      </c>
      <c r="E250" s="3" t="str">
        <f>INDEX('Brown tagset'!$B:$B,MATCH(IF(ISERROR(FIND("-",D250)),IF(ISERROR(FIND("+",D250)),D250,LEFT(D250,FIND("+",D250)-1)),LEFT(D250,FIND("-",D250)-1)),'Brown tagset'!$A:$A,0))</f>
        <v>verb, base form</v>
      </c>
      <c r="F250" s="3"/>
      <c r="G250" s="3" t="str">
        <f>INDEX('Brown-Universal mapping'!$B:$B,MATCH(D250,'Brown-Universal mapping'!$A:$A,0))</f>
        <v>VERB</v>
      </c>
      <c r="I250" s="5" t="s">
        <v>35</v>
      </c>
      <c r="J250" s="5" t="str">
        <f>INDEX('Brown tagset'!$B:$B,MATCH(IF(ISERROR(FIND("-",I250)),IF(ISERROR(FIND("+",I250)),I250,LEFT(I250,FIND("+",I250)-1)),LEFT(I250,FIND("-",I250)-1)),'Brown tagset'!$A:$A,0))</f>
        <v>verb, base form</v>
      </c>
      <c r="K250" s="5" t="s">
        <v>10</v>
      </c>
      <c r="L250" s="5" t="str">
        <f>INDEX('Brown-Universal mapping'!$B:$B,MATCH(I250,'Brown-Universal mapping'!$A:$A,0))</f>
        <v>VERB</v>
      </c>
      <c r="M250" s="5">
        <f t="shared" si="33"/>
        <v>1</v>
      </c>
      <c r="N250" s="5">
        <f t="shared" si="34"/>
        <v>1</v>
      </c>
      <c r="P250" s="12" t="s">
        <v>218</v>
      </c>
      <c r="Q250" s="7" t="s">
        <v>296</v>
      </c>
      <c r="R250" s="7" t="str">
        <f>INDEX('Brown tagset'!$B:$B,MATCH(IF(ISERROR(FIND("-",Q250)),IF(ISERROR(FIND("+",Q250)),Q250,LEFT(Q250,FIND("+",Q250)-1)),LEFT(Q250,FIND("-",Q250)-1)),'Brown tagset'!$A:$A,0))</f>
        <v>verb, base form</v>
      </c>
      <c r="S250" s="7"/>
      <c r="T250" s="7" t="str">
        <f>INDEX('Brown-Universal mapping'!$B:$B,MATCH(Q250,'Brown-Universal mapping'!$A:$A,0))</f>
        <v>VERB</v>
      </c>
      <c r="U250" s="7">
        <f t="shared" si="35"/>
        <v>1</v>
      </c>
      <c r="V250" s="7">
        <f t="shared" si="36"/>
        <v>1</v>
      </c>
      <c r="X250" s="12" t="s">
        <v>218</v>
      </c>
      <c r="Y250" s="7" t="s">
        <v>296</v>
      </c>
      <c r="Z250" s="7" t="str">
        <f>INDEX('Brown tagset'!$B:$B,MATCH(IF(ISERROR(FIND("-",Y250)),IF(ISERROR(FIND("+",Y250)),Y250,LEFT(Y250,FIND("+",Y250)-1)),LEFT(Y250,FIND("-",Y250)-1)),'Brown tagset'!$A:$A,0))</f>
        <v>verb, base form</v>
      </c>
      <c r="AA250" s="7"/>
      <c r="AB250" s="7" t="str">
        <f>INDEX('Brown-Universal mapping'!$B:$B,MATCH(Y250,'Brown-Universal mapping'!$A:$A,0))</f>
        <v>VERB</v>
      </c>
      <c r="AC250" s="7">
        <f t="shared" si="39"/>
        <v>1</v>
      </c>
      <c r="AD250" s="7">
        <f t="shared" si="40"/>
        <v>1</v>
      </c>
      <c r="AF250" s="9" t="s">
        <v>35</v>
      </c>
      <c r="AG250" s="9" t="str">
        <f>INDEX('Brown tagset'!$B:$B,MATCH(IF(ISERROR(FIND("-",AF250)),IF(ISERROR(FIND("+",AF250)),AF250,LEFT(AF250,FIND("+",AF250)-1)),LEFT(AF250,FIND("-",AF250)-1)),'Brown tagset'!$A:$A,0))</f>
        <v>verb, base form</v>
      </c>
      <c r="AH250" s="9" t="s">
        <v>10</v>
      </c>
      <c r="AI250" s="9" t="str">
        <f>INDEX('Brown-Universal mapping'!$B:$B,MATCH(AF250,'Brown-Universal mapping'!$A:$A,0))</f>
        <v>VERB</v>
      </c>
      <c r="AJ250" s="9">
        <f t="shared" si="37"/>
        <v>1</v>
      </c>
      <c r="AK250" s="9">
        <f t="shared" si="38"/>
        <v>1</v>
      </c>
      <c r="AM250" s="6">
        <f t="shared" si="41"/>
        <v>3</v>
      </c>
      <c r="AN250" s="6">
        <f t="shared" si="42"/>
        <v>3</v>
      </c>
      <c r="AP250" s="6" t="str">
        <f t="shared" si="43"/>
        <v>verb, base form3</v>
      </c>
    </row>
    <row r="251" spans="1:42" x14ac:dyDescent="0.25">
      <c r="A251" s="29" t="s">
        <v>215</v>
      </c>
      <c r="B251" s="29"/>
      <c r="D251" s="3" t="s">
        <v>113</v>
      </c>
      <c r="E251" s="3" t="str">
        <f>INDEX('Brown tagset'!$B:$B,MATCH(IF(ISERROR(FIND("-",D251)),IF(ISERROR(FIND("+",D251)),D251,LEFT(D251,FIND("+",D251)-1)),LEFT(D251,FIND("-",D251)-1)),'Brown tagset'!$A:$A,0))</f>
        <v>objective personal pronoun (me, him, it, them)</v>
      </c>
      <c r="F251" s="3"/>
      <c r="G251" s="3" t="str">
        <f>INDEX('Brown-Universal mapping'!$B:$B,MATCH(D251,'Brown-Universal mapping'!$A:$A,0))</f>
        <v>PRON</v>
      </c>
      <c r="I251" s="5" t="s">
        <v>113</v>
      </c>
      <c r="J251" s="5" t="str">
        <f>INDEX('Brown tagset'!$B:$B,MATCH(IF(ISERROR(FIND("-",I251)),IF(ISERROR(FIND("+",I251)),I251,LEFT(I251,FIND("+",I251)-1)),LEFT(I251,FIND("-",I251)-1)),'Brown tagset'!$A:$A,0))</f>
        <v>objective personal pronoun (me, him, it, them)</v>
      </c>
      <c r="K251" s="5" t="s">
        <v>2</v>
      </c>
      <c r="L251" s="5" t="str">
        <f>INDEX('Brown-Universal mapping'!$B:$B,MATCH(I251,'Brown-Universal mapping'!$A:$A,0))</f>
        <v>PRON</v>
      </c>
      <c r="M251" s="5">
        <f t="shared" si="33"/>
        <v>1</v>
      </c>
      <c r="N251" s="5">
        <f t="shared" si="34"/>
        <v>1</v>
      </c>
      <c r="P251" s="12" t="s">
        <v>215</v>
      </c>
      <c r="Q251" s="7" t="s">
        <v>316</v>
      </c>
      <c r="R251" s="7" t="str">
        <f>INDEX('Brown tagset'!$B:$B,MATCH(IF(ISERROR(FIND("-",Q251)),IF(ISERROR(FIND("+",Q251)),Q251,LEFT(Q251,FIND("+",Q251)-1)),LEFT(Q251,FIND("-",Q251)-1)),'Brown tagset'!$A:$A,0))</f>
        <v>objective personal pronoun (me, him, it, them)</v>
      </c>
      <c r="S251" s="7"/>
      <c r="T251" s="7" t="str">
        <f>INDEX('Brown-Universal mapping'!$B:$B,MATCH(Q251,'Brown-Universal mapping'!$A:$A,0))</f>
        <v>PRON</v>
      </c>
      <c r="U251" s="7">
        <f t="shared" si="35"/>
        <v>1</v>
      </c>
      <c r="V251" s="7">
        <f t="shared" si="36"/>
        <v>1</v>
      </c>
      <c r="X251" s="12" t="s">
        <v>215</v>
      </c>
      <c r="Y251" s="7" t="s">
        <v>316</v>
      </c>
      <c r="Z251" s="7" t="str">
        <f>INDEX('Brown tagset'!$B:$B,MATCH(IF(ISERROR(FIND("-",Y251)),IF(ISERROR(FIND("+",Y251)),Y251,LEFT(Y251,FIND("+",Y251)-1)),LEFT(Y251,FIND("-",Y251)-1)),'Brown tagset'!$A:$A,0))</f>
        <v>objective personal pronoun (me, him, it, them)</v>
      </c>
      <c r="AA251" s="7"/>
      <c r="AB251" s="7" t="str">
        <f>INDEX('Brown-Universal mapping'!$B:$B,MATCH(Y251,'Brown-Universal mapping'!$A:$A,0))</f>
        <v>PRON</v>
      </c>
      <c r="AC251" s="7">
        <f t="shared" si="39"/>
        <v>1</v>
      </c>
      <c r="AD251" s="7">
        <f t="shared" si="40"/>
        <v>1</v>
      </c>
      <c r="AF251" s="9" t="s">
        <v>113</v>
      </c>
      <c r="AG251" s="9" t="str">
        <f>INDEX('Brown tagset'!$B:$B,MATCH(IF(ISERROR(FIND("-",AF251)),IF(ISERROR(FIND("+",AF251)),AF251,LEFT(AF251,FIND("+",AF251)-1)),LEFT(AF251,FIND("-",AF251)-1)),'Brown tagset'!$A:$A,0))</f>
        <v>objective personal pronoun (me, him, it, them)</v>
      </c>
      <c r="AH251" s="9" t="s">
        <v>2</v>
      </c>
      <c r="AI251" s="9" t="str">
        <f>INDEX('Brown-Universal mapping'!$B:$B,MATCH(AF251,'Brown-Universal mapping'!$A:$A,0))</f>
        <v>PRON</v>
      </c>
      <c r="AJ251" s="9">
        <f t="shared" si="37"/>
        <v>1</v>
      </c>
      <c r="AK251" s="9">
        <f t="shared" si="38"/>
        <v>1</v>
      </c>
      <c r="AM251" s="6">
        <f t="shared" si="41"/>
        <v>3</v>
      </c>
      <c r="AN251" s="6">
        <f t="shared" si="42"/>
        <v>3</v>
      </c>
      <c r="AP251" s="6" t="str">
        <f t="shared" si="43"/>
        <v>objective personal pronoun (me, him, it, them)3</v>
      </c>
    </row>
    <row r="252" spans="1:42" x14ac:dyDescent="0.25">
      <c r="A252" s="29" t="s">
        <v>78</v>
      </c>
      <c r="B252" s="29"/>
      <c r="D252" s="3" t="s">
        <v>59</v>
      </c>
      <c r="E252" s="3" t="str">
        <f>INDEX('Brown tagset'!$B:$B,MATCH(IF(ISERROR(FIND("-",D252)),IF(ISERROR(FIND("+",D252)),D252,LEFT(D252,FIND("+",D252)-1)),LEFT(D252,FIND("-",D252)-1)),'Brown tagset'!$A:$A,0))</f>
        <v>preposition</v>
      </c>
      <c r="F252" s="3"/>
      <c r="G252" s="3" t="str">
        <f>INDEX('Brown-Universal mapping'!$B:$B,MATCH(D252,'Brown-Universal mapping'!$A:$A,0))</f>
        <v>ADP</v>
      </c>
      <c r="I252" s="5" t="s">
        <v>59</v>
      </c>
      <c r="J252" s="5" t="str">
        <f>INDEX('Brown tagset'!$B:$B,MATCH(IF(ISERROR(FIND("-",I252)),IF(ISERROR(FIND("+",I252)),I252,LEFT(I252,FIND("+",I252)-1)),LEFT(I252,FIND("-",I252)-1)),'Brown tagset'!$A:$A,0))</f>
        <v>preposition</v>
      </c>
      <c r="K252" s="5" t="s">
        <v>60</v>
      </c>
      <c r="L252" s="5" t="str">
        <f>INDEX('Brown-Universal mapping'!$B:$B,MATCH(I252,'Brown-Universal mapping'!$A:$A,0))</f>
        <v>ADP</v>
      </c>
      <c r="M252" s="5">
        <f t="shared" si="33"/>
        <v>1</v>
      </c>
      <c r="N252" s="5">
        <f t="shared" si="34"/>
        <v>1</v>
      </c>
      <c r="P252" s="12" t="s">
        <v>78</v>
      </c>
      <c r="Q252" s="7" t="s">
        <v>330</v>
      </c>
      <c r="R252" s="7" t="str">
        <f>INDEX('Brown tagset'!$B:$B,MATCH(IF(ISERROR(FIND("-",Q252)),IF(ISERROR(FIND("+",Q252)),Q252,LEFT(Q252,FIND("+",Q252)-1)),LEFT(Q252,FIND("-",Q252)-1)),'Brown tagset'!$A:$A,0))</f>
        <v>preposition</v>
      </c>
      <c r="S252" s="7"/>
      <c r="T252" s="7" t="str">
        <f>INDEX('Brown-Universal mapping'!$B:$B,MATCH(Q252,'Brown-Universal mapping'!$A:$A,0))</f>
        <v>ADP</v>
      </c>
      <c r="U252" s="7">
        <f t="shared" si="35"/>
        <v>0</v>
      </c>
      <c r="V252" s="7">
        <f t="shared" si="36"/>
        <v>1</v>
      </c>
      <c r="X252" s="12" t="s">
        <v>78</v>
      </c>
      <c r="Y252" s="7" t="s">
        <v>124</v>
      </c>
      <c r="Z252" s="7" t="str">
        <f>INDEX('Brown tagset'!$B:$B,MATCH(IF(ISERROR(FIND("-",Y252)),IF(ISERROR(FIND("+",Y252)),Y252,LEFT(Y252,FIND("+",Y252)-1)),LEFT(Y252,FIND("-",Y252)-1)),'Brown tagset'!$A:$A,0))</f>
        <v>preposition</v>
      </c>
      <c r="AA252" s="7"/>
      <c r="AB252" s="7" t="str">
        <f>INDEX('Brown-Universal mapping'!$B:$B,MATCH(Y252,'Brown-Universal mapping'!$A:$A,0))</f>
        <v>ADP</v>
      </c>
      <c r="AC252" s="7">
        <f t="shared" si="39"/>
        <v>1</v>
      </c>
      <c r="AD252" s="7">
        <f t="shared" si="40"/>
        <v>1</v>
      </c>
      <c r="AF252" s="9" t="s">
        <v>59</v>
      </c>
      <c r="AG252" s="9" t="str">
        <f>INDEX('Brown tagset'!$B:$B,MATCH(IF(ISERROR(FIND("-",AF252)),IF(ISERROR(FIND("+",AF252)),AF252,LEFT(AF252,FIND("+",AF252)-1)),LEFT(AF252,FIND("-",AF252)-1)),'Brown tagset'!$A:$A,0))</f>
        <v>preposition</v>
      </c>
      <c r="AH252" s="9" t="s">
        <v>60</v>
      </c>
      <c r="AI252" s="9" t="str">
        <f>INDEX('Brown-Universal mapping'!$B:$B,MATCH(AF252,'Brown-Universal mapping'!$A:$A,0))</f>
        <v>ADP</v>
      </c>
      <c r="AJ252" s="9">
        <f t="shared" si="37"/>
        <v>1</v>
      </c>
      <c r="AK252" s="9">
        <f t="shared" si="38"/>
        <v>1</v>
      </c>
      <c r="AM252" s="6">
        <f t="shared" si="41"/>
        <v>3</v>
      </c>
      <c r="AN252" s="6">
        <f t="shared" si="42"/>
        <v>3</v>
      </c>
      <c r="AP252" s="6" t="str">
        <f t="shared" si="43"/>
        <v>preposition3</v>
      </c>
    </row>
    <row r="253" spans="1:42" x14ac:dyDescent="0.25">
      <c r="A253" s="29" t="s">
        <v>214</v>
      </c>
      <c r="B253" s="29"/>
      <c r="D253" s="3" t="s">
        <v>59</v>
      </c>
      <c r="E253" s="3" t="str">
        <f>INDEX('Brown tagset'!$B:$B,MATCH(IF(ISERROR(FIND("-",D253)),IF(ISERROR(FIND("+",D253)),D253,LEFT(D253,FIND("+",D253)-1)),LEFT(D253,FIND("-",D253)-1)),'Brown tagset'!$A:$A,0))</f>
        <v>preposition</v>
      </c>
      <c r="F253" s="3"/>
      <c r="G253" s="3" t="str">
        <f>INDEX('Brown-Universal mapping'!$B:$B,MATCH(D253,'Brown-Universal mapping'!$A:$A,0))</f>
        <v>ADP</v>
      </c>
      <c r="I253" s="5" t="s">
        <v>59</v>
      </c>
      <c r="J253" s="5" t="str">
        <f>INDEX('Brown tagset'!$B:$B,MATCH(IF(ISERROR(FIND("-",I253)),IF(ISERROR(FIND("+",I253)),I253,LEFT(I253,FIND("+",I253)-1)),LEFT(I253,FIND("-",I253)-1)),'Brown tagset'!$A:$A,0))</f>
        <v>preposition</v>
      </c>
      <c r="K253" s="5" t="s">
        <v>60</v>
      </c>
      <c r="L253" s="5" t="str">
        <f>INDEX('Brown-Universal mapping'!$B:$B,MATCH(I253,'Brown-Universal mapping'!$A:$A,0))</f>
        <v>ADP</v>
      </c>
      <c r="M253" s="5">
        <f t="shared" si="33"/>
        <v>1</v>
      </c>
      <c r="N253" s="5">
        <f t="shared" si="34"/>
        <v>1</v>
      </c>
      <c r="P253" s="12" t="s">
        <v>214</v>
      </c>
      <c r="Q253" s="7" t="s">
        <v>124</v>
      </c>
      <c r="R253" s="7" t="str">
        <f>INDEX('Brown tagset'!$B:$B,MATCH(IF(ISERROR(FIND("-",Q253)),IF(ISERROR(FIND("+",Q253)),Q253,LEFT(Q253,FIND("+",Q253)-1)),LEFT(Q253,FIND("-",Q253)-1)),'Brown tagset'!$A:$A,0))</f>
        <v>preposition</v>
      </c>
      <c r="S253" s="7"/>
      <c r="T253" s="7" t="str">
        <f>INDEX('Brown-Universal mapping'!$B:$B,MATCH(Q253,'Brown-Universal mapping'!$A:$A,0))</f>
        <v>ADP</v>
      </c>
      <c r="U253" s="7">
        <f t="shared" si="35"/>
        <v>1</v>
      </c>
      <c r="V253" s="7">
        <f t="shared" si="36"/>
        <v>1</v>
      </c>
      <c r="X253" s="12" t="s">
        <v>214</v>
      </c>
      <c r="Y253" s="7" t="s">
        <v>124</v>
      </c>
      <c r="Z253" s="7" t="str">
        <f>INDEX('Brown tagset'!$B:$B,MATCH(IF(ISERROR(FIND("-",Y253)),IF(ISERROR(FIND("+",Y253)),Y253,LEFT(Y253,FIND("+",Y253)-1)),LEFT(Y253,FIND("-",Y253)-1)),'Brown tagset'!$A:$A,0))</f>
        <v>preposition</v>
      </c>
      <c r="AA253" s="7"/>
      <c r="AB253" s="7" t="str">
        <f>INDEX('Brown-Universal mapping'!$B:$B,MATCH(Y253,'Brown-Universal mapping'!$A:$A,0))</f>
        <v>ADP</v>
      </c>
      <c r="AC253" s="7">
        <f t="shared" si="39"/>
        <v>1</v>
      </c>
      <c r="AD253" s="7">
        <f t="shared" si="40"/>
        <v>1</v>
      </c>
      <c r="AF253" s="9" t="s">
        <v>59</v>
      </c>
      <c r="AG253" s="9" t="str">
        <f>INDEX('Brown tagset'!$B:$B,MATCH(IF(ISERROR(FIND("-",AF253)),IF(ISERROR(FIND("+",AF253)),AF253,LEFT(AF253,FIND("+",AF253)-1)),LEFT(AF253,FIND("-",AF253)-1)),'Brown tagset'!$A:$A,0))</f>
        <v>preposition</v>
      </c>
      <c r="AH253" s="9" t="s">
        <v>60</v>
      </c>
      <c r="AI253" s="9" t="str">
        <f>INDEX('Brown-Universal mapping'!$B:$B,MATCH(AF253,'Brown-Universal mapping'!$A:$A,0))</f>
        <v>ADP</v>
      </c>
      <c r="AJ253" s="9">
        <f t="shared" si="37"/>
        <v>1</v>
      </c>
      <c r="AK253" s="9">
        <f t="shared" si="38"/>
        <v>1</v>
      </c>
      <c r="AM253" s="6">
        <f t="shared" si="41"/>
        <v>3</v>
      </c>
      <c r="AN253" s="6">
        <f t="shared" si="42"/>
        <v>3</v>
      </c>
      <c r="AP253" s="6" t="str">
        <f t="shared" si="43"/>
        <v>preposition3</v>
      </c>
    </row>
    <row r="254" spans="1:42" x14ac:dyDescent="0.25">
      <c r="A254" s="29" t="s">
        <v>219</v>
      </c>
      <c r="B254" s="29"/>
      <c r="D254" s="3" t="s">
        <v>45</v>
      </c>
      <c r="E254" s="3" t="str">
        <f>INDEX('Brown tagset'!$B:$B,MATCH(IF(ISERROR(FIND("-",D254)),IF(ISERROR(FIND("+",D254)),D254,LEFT(D254,FIND("+",D254)-1)),LEFT(D254,FIND("-",D254)-1)),'Brown tagset'!$A:$A,0))</f>
        <v>adjective</v>
      </c>
      <c r="F254" s="3"/>
      <c r="G254" s="3" t="str">
        <f>INDEX('Brown-Universal mapping'!$B:$B,MATCH(D254,'Brown-Universal mapping'!$A:$A,0))</f>
        <v>ADJ</v>
      </c>
      <c r="I254" s="5" t="s">
        <v>45</v>
      </c>
      <c r="J254" s="5" t="str">
        <f>INDEX('Brown tagset'!$B:$B,MATCH(IF(ISERROR(FIND("-",I254)),IF(ISERROR(FIND("+",I254)),I254,LEFT(I254,FIND("+",I254)-1)),LEFT(I254,FIND("-",I254)-1)),'Brown tagset'!$A:$A,0))</f>
        <v>adjective</v>
      </c>
      <c r="K254" s="5" t="s">
        <v>46</v>
      </c>
      <c r="L254" s="5" t="str">
        <f>INDEX('Brown-Universal mapping'!$B:$B,MATCH(I254,'Brown-Universal mapping'!$A:$A,0))</f>
        <v>ADJ</v>
      </c>
      <c r="M254" s="5">
        <f t="shared" si="33"/>
        <v>1</v>
      </c>
      <c r="N254" s="5">
        <f t="shared" si="34"/>
        <v>1</v>
      </c>
      <c r="P254" s="12" t="s">
        <v>219</v>
      </c>
      <c r="Q254" s="7" t="s">
        <v>299</v>
      </c>
      <c r="R254" s="7" t="str">
        <f>INDEX('Brown tagset'!$B:$B,MATCH(IF(ISERROR(FIND("-",Q254)),IF(ISERROR(FIND("+",Q254)),Q254,LEFT(Q254,FIND("+",Q254)-1)),LEFT(Q254,FIND("-",Q254)-1)),'Brown tagset'!$A:$A,0))</f>
        <v>adjective</v>
      </c>
      <c r="S254" s="7"/>
      <c r="T254" s="7" t="str">
        <f>INDEX('Brown-Universal mapping'!$B:$B,MATCH(Q254,'Brown-Universal mapping'!$A:$A,0))</f>
        <v>ADJ</v>
      </c>
      <c r="U254" s="7">
        <f t="shared" si="35"/>
        <v>1</v>
      </c>
      <c r="V254" s="7">
        <f t="shared" si="36"/>
        <v>1</v>
      </c>
      <c r="X254" s="12" t="s">
        <v>219</v>
      </c>
      <c r="Y254" s="7" t="s">
        <v>299</v>
      </c>
      <c r="Z254" s="7" t="str">
        <f>INDEX('Brown tagset'!$B:$B,MATCH(IF(ISERROR(FIND("-",Y254)),IF(ISERROR(FIND("+",Y254)),Y254,LEFT(Y254,FIND("+",Y254)-1)),LEFT(Y254,FIND("-",Y254)-1)),'Brown tagset'!$A:$A,0))</f>
        <v>adjective</v>
      </c>
      <c r="AA254" s="7"/>
      <c r="AB254" s="7" t="str">
        <f>INDEX('Brown-Universal mapping'!$B:$B,MATCH(Y254,'Brown-Universal mapping'!$A:$A,0))</f>
        <v>ADJ</v>
      </c>
      <c r="AC254" s="7">
        <f t="shared" si="39"/>
        <v>1</v>
      </c>
      <c r="AD254" s="7">
        <f t="shared" si="40"/>
        <v>1</v>
      </c>
      <c r="AF254" s="9" t="s">
        <v>45</v>
      </c>
      <c r="AG254" s="9" t="str">
        <f>INDEX('Brown tagset'!$B:$B,MATCH(IF(ISERROR(FIND("-",AF254)),IF(ISERROR(FIND("+",AF254)),AF254,LEFT(AF254,FIND("+",AF254)-1)),LEFT(AF254,FIND("-",AF254)-1)),'Brown tagset'!$A:$A,0))</f>
        <v>adjective</v>
      </c>
      <c r="AH254" s="9" t="s">
        <v>46</v>
      </c>
      <c r="AI254" s="9" t="str">
        <f>INDEX('Brown-Universal mapping'!$B:$B,MATCH(AF254,'Brown-Universal mapping'!$A:$A,0))</f>
        <v>ADJ</v>
      </c>
      <c r="AJ254" s="9">
        <f t="shared" si="37"/>
        <v>1</v>
      </c>
      <c r="AK254" s="9">
        <f t="shared" si="38"/>
        <v>1</v>
      </c>
      <c r="AM254" s="6">
        <f t="shared" si="41"/>
        <v>3</v>
      </c>
      <c r="AN254" s="6">
        <f t="shared" si="42"/>
        <v>3</v>
      </c>
      <c r="AP254" s="6" t="str">
        <f t="shared" si="43"/>
        <v>adjective3</v>
      </c>
    </row>
    <row r="255" spans="1:42" x14ac:dyDescent="0.25">
      <c r="A255" s="29" t="s">
        <v>62</v>
      </c>
      <c r="B255" s="29"/>
      <c r="D255" s="3" t="s">
        <v>62</v>
      </c>
      <c r="E255" s="3" t="str">
        <f>INDEX('Brown tagset'!$B:$B,MATCH(IF(ISERROR(FIND("-",D255)),IF(ISERROR(FIND("+",D255)),D255,LEFT(D255,FIND("+",D255)-1)),LEFT(D255,FIND("-",D255)-1)),'Brown tagset'!$A:$A,0))</f>
        <v>comma</v>
      </c>
      <c r="F255" s="3"/>
      <c r="G255" s="3" t="str">
        <f>INDEX('Brown-Universal mapping'!$B:$B,MATCH(D255,'Brown-Universal mapping'!$A:$A,0))</f>
        <v>.</v>
      </c>
      <c r="I255" s="5" t="s">
        <v>62</v>
      </c>
      <c r="J255" s="5" t="str">
        <f>INDEX('Brown tagset'!$B:$B,MATCH(IF(ISERROR(FIND("-",I255)),IF(ISERROR(FIND("+",I255)),I255,LEFT(I255,FIND("+",I255)-1)),LEFT(I255,FIND("-",I255)-1)),'Brown tagset'!$A:$A,0))</f>
        <v>comma</v>
      </c>
      <c r="K255" s="5" t="s">
        <v>38</v>
      </c>
      <c r="L255" s="5" t="str">
        <f>INDEX('Brown-Universal mapping'!$B:$B,MATCH(I255,'Brown-Universal mapping'!$A:$A,0))</f>
        <v>.</v>
      </c>
      <c r="M255" s="5">
        <f t="shared" si="33"/>
        <v>1</v>
      </c>
      <c r="N255" s="5">
        <f t="shared" si="34"/>
        <v>1</v>
      </c>
      <c r="P255" s="12" t="s">
        <v>62</v>
      </c>
      <c r="Q255" s="7" t="s">
        <v>62</v>
      </c>
      <c r="R255" s="7" t="str">
        <f>INDEX('Brown tagset'!$B:$B,MATCH(IF(ISERROR(FIND("-",Q255)),IF(ISERROR(FIND("+",Q255)),Q255,LEFT(Q255,FIND("+",Q255)-1)),LEFT(Q255,FIND("-",Q255)-1)),'Brown tagset'!$A:$A,0))</f>
        <v>comma</v>
      </c>
      <c r="S255" s="7"/>
      <c r="T255" s="7" t="str">
        <f>INDEX('Brown-Universal mapping'!$B:$B,MATCH(Q255,'Brown-Universal mapping'!$A:$A,0))</f>
        <v>.</v>
      </c>
      <c r="U255" s="7">
        <f t="shared" si="35"/>
        <v>1</v>
      </c>
      <c r="V255" s="7">
        <f t="shared" si="36"/>
        <v>1</v>
      </c>
      <c r="X255" s="12" t="s">
        <v>62</v>
      </c>
      <c r="Y255" s="7" t="s">
        <v>62</v>
      </c>
      <c r="Z255" s="7" t="str">
        <f>INDEX('Brown tagset'!$B:$B,MATCH(IF(ISERROR(FIND("-",Y255)),IF(ISERROR(FIND("+",Y255)),Y255,LEFT(Y255,FIND("+",Y255)-1)),LEFT(Y255,FIND("-",Y255)-1)),'Brown tagset'!$A:$A,0))</f>
        <v>comma</v>
      </c>
      <c r="AA255" s="7"/>
      <c r="AB255" s="7" t="str">
        <f>INDEX('Brown-Universal mapping'!$B:$B,MATCH(Y255,'Brown-Universal mapping'!$A:$A,0))</f>
        <v>.</v>
      </c>
      <c r="AC255" s="7">
        <f t="shared" si="39"/>
        <v>1</v>
      </c>
      <c r="AD255" s="7">
        <f t="shared" si="40"/>
        <v>1</v>
      </c>
      <c r="AF255" s="9" t="s">
        <v>62</v>
      </c>
      <c r="AG255" s="9" t="str">
        <f>INDEX('Brown tagset'!$B:$B,MATCH(IF(ISERROR(FIND("-",AF255)),IF(ISERROR(FIND("+",AF255)),AF255,LEFT(AF255,FIND("+",AF255)-1)),LEFT(AF255,FIND("-",AF255)-1)),'Brown tagset'!$A:$A,0))</f>
        <v>comma</v>
      </c>
      <c r="AH255" s="9" t="s">
        <v>38</v>
      </c>
      <c r="AI255" s="9" t="str">
        <f>INDEX('Brown-Universal mapping'!$B:$B,MATCH(AF255,'Brown-Universal mapping'!$A:$A,0))</f>
        <v>.</v>
      </c>
      <c r="AJ255" s="9">
        <f t="shared" si="37"/>
        <v>1</v>
      </c>
      <c r="AK255" s="9">
        <f t="shared" si="38"/>
        <v>1</v>
      </c>
      <c r="AM255" s="6">
        <f t="shared" si="41"/>
        <v>3</v>
      </c>
      <c r="AN255" s="6">
        <f t="shared" si="42"/>
        <v>3</v>
      </c>
      <c r="AP255" s="6" t="str">
        <f t="shared" si="43"/>
        <v>comma3</v>
      </c>
    </row>
    <row r="256" spans="1:42" x14ac:dyDescent="0.25">
      <c r="A256" s="29" t="s">
        <v>219</v>
      </c>
      <c r="B256" s="29"/>
      <c r="D256" s="3" t="s">
        <v>45</v>
      </c>
      <c r="E256" s="3" t="str">
        <f>INDEX('Brown tagset'!$B:$B,MATCH(IF(ISERROR(FIND("-",D256)),IF(ISERROR(FIND("+",D256)),D256,LEFT(D256,FIND("+",D256)-1)),LEFT(D256,FIND("-",D256)-1)),'Brown tagset'!$A:$A,0))</f>
        <v>adjective</v>
      </c>
      <c r="F256" s="3"/>
      <c r="G256" s="3" t="str">
        <f>INDEX('Brown-Universal mapping'!$B:$B,MATCH(D256,'Brown-Universal mapping'!$A:$A,0))</f>
        <v>ADJ</v>
      </c>
      <c r="I256" s="5" t="s">
        <v>45</v>
      </c>
      <c r="J256" s="5" t="str">
        <f>INDEX('Brown tagset'!$B:$B,MATCH(IF(ISERROR(FIND("-",I256)),IF(ISERROR(FIND("+",I256)),I256,LEFT(I256,FIND("+",I256)-1)),LEFT(I256,FIND("-",I256)-1)),'Brown tagset'!$A:$A,0))</f>
        <v>adjective</v>
      </c>
      <c r="K256" s="5" t="s">
        <v>46</v>
      </c>
      <c r="L256" s="5" t="str">
        <f>INDEX('Brown-Universal mapping'!$B:$B,MATCH(I256,'Brown-Universal mapping'!$A:$A,0))</f>
        <v>ADJ</v>
      </c>
      <c r="M256" s="5">
        <f t="shared" si="33"/>
        <v>1</v>
      </c>
      <c r="N256" s="5">
        <f t="shared" si="34"/>
        <v>1</v>
      </c>
      <c r="P256" s="12" t="s">
        <v>219</v>
      </c>
      <c r="Q256" s="7" t="s">
        <v>299</v>
      </c>
      <c r="R256" s="7" t="str">
        <f>INDEX('Brown tagset'!$B:$B,MATCH(IF(ISERROR(FIND("-",Q256)),IF(ISERROR(FIND("+",Q256)),Q256,LEFT(Q256,FIND("+",Q256)-1)),LEFT(Q256,FIND("-",Q256)-1)),'Brown tagset'!$A:$A,0))</f>
        <v>adjective</v>
      </c>
      <c r="S256" s="7"/>
      <c r="T256" s="7" t="str">
        <f>INDEX('Brown-Universal mapping'!$B:$B,MATCH(Q256,'Brown-Universal mapping'!$A:$A,0))</f>
        <v>ADJ</v>
      </c>
      <c r="U256" s="7">
        <f t="shared" si="35"/>
        <v>1</v>
      </c>
      <c r="V256" s="7">
        <f t="shared" si="36"/>
        <v>1</v>
      </c>
      <c r="X256" s="12" t="s">
        <v>219</v>
      </c>
      <c r="Y256" s="7" t="s">
        <v>299</v>
      </c>
      <c r="Z256" s="7" t="str">
        <f>INDEX('Brown tagset'!$B:$B,MATCH(IF(ISERROR(FIND("-",Y256)),IF(ISERROR(FIND("+",Y256)),Y256,LEFT(Y256,FIND("+",Y256)-1)),LEFT(Y256,FIND("-",Y256)-1)),'Brown tagset'!$A:$A,0))</f>
        <v>adjective</v>
      </c>
      <c r="AA256" s="7"/>
      <c r="AB256" s="7" t="str">
        <f>INDEX('Brown-Universal mapping'!$B:$B,MATCH(Y256,'Brown-Universal mapping'!$A:$A,0))</f>
        <v>ADJ</v>
      </c>
      <c r="AC256" s="7">
        <f t="shared" si="39"/>
        <v>1</v>
      </c>
      <c r="AD256" s="7">
        <f t="shared" si="40"/>
        <v>1</v>
      </c>
      <c r="AF256" s="9" t="s">
        <v>45</v>
      </c>
      <c r="AG256" s="9" t="str">
        <f>INDEX('Brown tagset'!$B:$B,MATCH(IF(ISERROR(FIND("-",AF256)),IF(ISERROR(FIND("+",AF256)),AF256,LEFT(AF256,FIND("+",AF256)-1)),LEFT(AF256,FIND("-",AF256)-1)),'Brown tagset'!$A:$A,0))</f>
        <v>adjective</v>
      </c>
      <c r="AH256" s="9" t="s">
        <v>46</v>
      </c>
      <c r="AI256" s="9" t="str">
        <f>INDEX('Brown-Universal mapping'!$B:$B,MATCH(AF256,'Brown-Universal mapping'!$A:$A,0))</f>
        <v>ADJ</v>
      </c>
      <c r="AJ256" s="9">
        <f t="shared" si="37"/>
        <v>1</v>
      </c>
      <c r="AK256" s="9">
        <f t="shared" si="38"/>
        <v>1</v>
      </c>
      <c r="AM256" s="6">
        <f t="shared" si="41"/>
        <v>3</v>
      </c>
      <c r="AN256" s="6">
        <f t="shared" si="42"/>
        <v>3</v>
      </c>
      <c r="AP256" s="6" t="str">
        <f t="shared" si="43"/>
        <v>adjective3</v>
      </c>
    </row>
    <row r="257" spans="1:42" x14ac:dyDescent="0.25">
      <c r="A257" s="29" t="s">
        <v>220</v>
      </c>
      <c r="B257" s="29"/>
      <c r="D257" s="3" t="s">
        <v>12</v>
      </c>
      <c r="E257" s="3" t="str">
        <f>INDEX('Brown tagset'!$B:$B,MATCH(IF(ISERROR(FIND("-",D257)),IF(ISERROR(FIND("+",D257)),D257,LEFT(D257,FIND("+",D257)-1)),LEFT(D257,FIND("-",D257)-1)),'Brown tagset'!$A:$A,0))</f>
        <v>singular or mass noun</v>
      </c>
      <c r="F257" s="3"/>
      <c r="G257" s="3" t="str">
        <f>INDEX('Brown-Universal mapping'!$B:$B,MATCH(D257,'Brown-Universal mapping'!$A:$A,0))</f>
        <v>NOUN</v>
      </c>
      <c r="I257" s="5" t="s">
        <v>12</v>
      </c>
      <c r="J257" s="5" t="str">
        <f>INDEX('Brown tagset'!$B:$B,MATCH(IF(ISERROR(FIND("-",I257)),IF(ISERROR(FIND("+",I257)),I257,LEFT(I257,FIND("+",I257)-1)),LEFT(I257,FIND("-",I257)-1)),'Brown tagset'!$A:$A,0))</f>
        <v>singular or mass noun</v>
      </c>
      <c r="K257" s="5" t="s">
        <v>13</v>
      </c>
      <c r="L257" s="5" t="str">
        <f>INDEX('Brown-Universal mapping'!$B:$B,MATCH(I257,'Brown-Universal mapping'!$A:$A,0))</f>
        <v>NOUN</v>
      </c>
      <c r="M257" s="5">
        <f t="shared" si="33"/>
        <v>1</v>
      </c>
      <c r="N257" s="5">
        <f t="shared" si="34"/>
        <v>1</v>
      </c>
      <c r="P257" s="12" t="s">
        <v>220</v>
      </c>
      <c r="Q257" s="7" t="s">
        <v>289</v>
      </c>
      <c r="R257" s="7" t="str">
        <f>INDEX('Brown tagset'!$B:$B,MATCH(IF(ISERROR(FIND("-",Q257)),IF(ISERROR(FIND("+",Q257)),Q257,LEFT(Q257,FIND("+",Q257)-1)),LEFT(Q257,FIND("-",Q257)-1)),'Brown tagset'!$A:$A,0))</f>
        <v>singular or mass noun</v>
      </c>
      <c r="S257" s="7"/>
      <c r="T257" s="7" t="str">
        <f>INDEX('Brown-Universal mapping'!$B:$B,MATCH(Q257,'Brown-Universal mapping'!$A:$A,0))</f>
        <v>NOUN</v>
      </c>
      <c r="U257" s="7">
        <f t="shared" si="35"/>
        <v>1</v>
      </c>
      <c r="V257" s="7">
        <f t="shared" si="36"/>
        <v>1</v>
      </c>
      <c r="X257" s="12" t="s">
        <v>220</v>
      </c>
      <c r="Y257" s="7" t="s">
        <v>289</v>
      </c>
      <c r="Z257" s="7" t="str">
        <f>INDEX('Brown tagset'!$B:$B,MATCH(IF(ISERROR(FIND("-",Y257)),IF(ISERROR(FIND("+",Y257)),Y257,LEFT(Y257,FIND("+",Y257)-1)),LEFT(Y257,FIND("-",Y257)-1)),'Brown tagset'!$A:$A,0))</f>
        <v>singular or mass noun</v>
      </c>
      <c r="AA257" s="7"/>
      <c r="AB257" s="7" t="str">
        <f>INDEX('Brown-Universal mapping'!$B:$B,MATCH(Y257,'Brown-Universal mapping'!$A:$A,0))</f>
        <v>NOUN</v>
      </c>
      <c r="AC257" s="7">
        <f t="shared" si="39"/>
        <v>1</v>
      </c>
      <c r="AD257" s="7">
        <f t="shared" si="40"/>
        <v>1</v>
      </c>
      <c r="AF257" s="9" t="s">
        <v>12</v>
      </c>
      <c r="AG257" s="9" t="str">
        <f>INDEX('Brown tagset'!$B:$B,MATCH(IF(ISERROR(FIND("-",AF257)),IF(ISERROR(FIND("+",AF257)),AF257,LEFT(AF257,FIND("+",AF257)-1)),LEFT(AF257,FIND("-",AF257)-1)),'Brown tagset'!$A:$A,0))</f>
        <v>singular or mass noun</v>
      </c>
      <c r="AH257" s="9" t="s">
        <v>13</v>
      </c>
      <c r="AI257" s="9" t="str">
        <f>INDEX('Brown-Universal mapping'!$B:$B,MATCH(AF257,'Brown-Universal mapping'!$A:$A,0))</f>
        <v>NOUN</v>
      </c>
      <c r="AJ257" s="9">
        <f t="shared" si="37"/>
        <v>1</v>
      </c>
      <c r="AK257" s="9">
        <f t="shared" si="38"/>
        <v>1</v>
      </c>
      <c r="AM257" s="6">
        <f t="shared" si="41"/>
        <v>3</v>
      </c>
      <c r="AN257" s="6">
        <f t="shared" si="42"/>
        <v>3</v>
      </c>
      <c r="AP257" s="6" t="str">
        <f t="shared" si="43"/>
        <v>singular or mass noun3</v>
      </c>
    </row>
    <row r="258" spans="1:42" x14ac:dyDescent="0.25">
      <c r="A258" s="29" t="s">
        <v>54</v>
      </c>
      <c r="B258" s="29"/>
      <c r="D258" s="3" t="s">
        <v>12</v>
      </c>
      <c r="E258" s="3" t="str">
        <f>INDEX('Brown tagset'!$B:$B,MATCH(IF(ISERROR(FIND("-",D258)),IF(ISERROR(FIND("+",D258)),D258,LEFT(D258,FIND("+",D258)-1)),LEFT(D258,FIND("-",D258)-1)),'Brown tagset'!$A:$A,0))</f>
        <v>singular or mass noun</v>
      </c>
      <c r="F258" s="3"/>
      <c r="G258" s="3" t="str">
        <f>INDEX('Brown-Universal mapping'!$B:$B,MATCH(D258,'Brown-Universal mapping'!$A:$A,0))</f>
        <v>NOUN</v>
      </c>
      <c r="I258" s="5" t="s">
        <v>12</v>
      </c>
      <c r="J258" s="5" t="str">
        <f>INDEX('Brown tagset'!$B:$B,MATCH(IF(ISERROR(FIND("-",I258)),IF(ISERROR(FIND("+",I258)),I258,LEFT(I258,FIND("+",I258)-1)),LEFT(I258,FIND("-",I258)-1)),'Brown tagset'!$A:$A,0))</f>
        <v>singular or mass noun</v>
      </c>
      <c r="K258" s="5" t="s">
        <v>13</v>
      </c>
      <c r="L258" s="5" t="str">
        <f>INDEX('Brown-Universal mapping'!$B:$B,MATCH(I258,'Brown-Universal mapping'!$A:$A,0))</f>
        <v>NOUN</v>
      </c>
      <c r="M258" s="5">
        <f t="shared" si="33"/>
        <v>1</v>
      </c>
      <c r="N258" s="5">
        <f t="shared" si="34"/>
        <v>1</v>
      </c>
      <c r="P258" s="12" t="s">
        <v>54</v>
      </c>
      <c r="Q258" s="7" t="s">
        <v>289</v>
      </c>
      <c r="R258" s="7" t="str">
        <f>INDEX('Brown tagset'!$B:$B,MATCH(IF(ISERROR(FIND("-",Q258)),IF(ISERROR(FIND("+",Q258)),Q258,LEFT(Q258,FIND("+",Q258)-1)),LEFT(Q258,FIND("-",Q258)-1)),'Brown tagset'!$A:$A,0))</f>
        <v>singular or mass noun</v>
      </c>
      <c r="S258" s="7"/>
      <c r="T258" s="7" t="str">
        <f>INDEX('Brown-Universal mapping'!$B:$B,MATCH(Q258,'Brown-Universal mapping'!$A:$A,0))</f>
        <v>NOUN</v>
      </c>
      <c r="U258" s="7">
        <f t="shared" si="35"/>
        <v>1</v>
      </c>
      <c r="V258" s="7">
        <f t="shared" si="36"/>
        <v>1</v>
      </c>
      <c r="X258" s="12" t="s">
        <v>54</v>
      </c>
      <c r="Y258" s="7" t="s">
        <v>289</v>
      </c>
      <c r="Z258" s="7" t="str">
        <f>INDEX('Brown tagset'!$B:$B,MATCH(IF(ISERROR(FIND("-",Y258)),IF(ISERROR(FIND("+",Y258)),Y258,LEFT(Y258,FIND("+",Y258)-1)),LEFT(Y258,FIND("-",Y258)-1)),'Brown tagset'!$A:$A,0))</f>
        <v>singular or mass noun</v>
      </c>
      <c r="AA258" s="7"/>
      <c r="AB258" s="7" t="str">
        <f>INDEX('Brown-Universal mapping'!$B:$B,MATCH(Y258,'Brown-Universal mapping'!$A:$A,0))</f>
        <v>NOUN</v>
      </c>
      <c r="AC258" s="7">
        <f t="shared" si="39"/>
        <v>1</v>
      </c>
      <c r="AD258" s="7">
        <f t="shared" si="40"/>
        <v>1</v>
      </c>
      <c r="AF258" s="9" t="s">
        <v>12</v>
      </c>
      <c r="AG258" s="9" t="str">
        <f>INDEX('Brown tagset'!$B:$B,MATCH(IF(ISERROR(FIND("-",AF258)),IF(ISERROR(FIND("+",AF258)),AF258,LEFT(AF258,FIND("+",AF258)-1)),LEFT(AF258,FIND("-",AF258)-1)),'Brown tagset'!$A:$A,0))</f>
        <v>singular or mass noun</v>
      </c>
      <c r="AH258" s="9" t="s">
        <v>13</v>
      </c>
      <c r="AI258" s="9" t="str">
        <f>INDEX('Brown-Universal mapping'!$B:$B,MATCH(AF258,'Brown-Universal mapping'!$A:$A,0))</f>
        <v>NOUN</v>
      </c>
      <c r="AJ258" s="9">
        <f t="shared" si="37"/>
        <v>1</v>
      </c>
      <c r="AK258" s="9">
        <f t="shared" si="38"/>
        <v>1</v>
      </c>
      <c r="AM258" s="6">
        <f t="shared" si="41"/>
        <v>3</v>
      </c>
      <c r="AN258" s="6">
        <f t="shared" si="42"/>
        <v>3</v>
      </c>
      <c r="AP258" s="6" t="str">
        <f t="shared" si="43"/>
        <v>singular or mass noun3</v>
      </c>
    </row>
    <row r="259" spans="1:42" x14ac:dyDescent="0.25">
      <c r="A259" s="29" t="s">
        <v>38</v>
      </c>
      <c r="B259" s="29"/>
      <c r="D259" s="3" t="s">
        <v>38</v>
      </c>
      <c r="E259" s="3" t="str">
        <f>INDEX('Brown tagset'!$B:$B,MATCH(IF(ISERROR(FIND("-",D259)),IF(ISERROR(FIND("+",D259)),D259,LEFT(D259,FIND("+",D259)-1)),LEFT(D259,FIND("-",D259)-1)),'Brown tagset'!$A:$A,0))</f>
        <v>sentence (. ; ? *)</v>
      </c>
      <c r="F259" s="3"/>
      <c r="G259" s="3" t="str">
        <f>INDEX('Brown-Universal mapping'!$B:$B,MATCH(D259,'Brown-Universal mapping'!$A:$A,0))</f>
        <v>.</v>
      </c>
      <c r="I259" s="5" t="s">
        <v>38</v>
      </c>
      <c r="J259" s="5" t="str">
        <f>INDEX('Brown tagset'!$B:$B,MATCH(IF(ISERROR(FIND("-",I259)),IF(ISERROR(FIND("+",I259)),I259,LEFT(I259,FIND("+",I259)-1)),LEFT(I259,FIND("-",I259)-1)),'Brown tagset'!$A:$A,0))</f>
        <v>sentence (. ; ? *)</v>
      </c>
      <c r="K259" s="5" t="s">
        <v>38</v>
      </c>
      <c r="L259" s="5" t="str">
        <f>INDEX('Brown-Universal mapping'!$B:$B,MATCH(I259,'Brown-Universal mapping'!$A:$A,0))</f>
        <v>.</v>
      </c>
      <c r="M259" s="5">
        <f t="shared" si="33"/>
        <v>1</v>
      </c>
      <c r="N259" s="5">
        <f t="shared" si="34"/>
        <v>1</v>
      </c>
      <c r="P259" s="12" t="s">
        <v>38</v>
      </c>
      <c r="Q259" s="7" t="s">
        <v>38</v>
      </c>
      <c r="R259" s="7" t="str">
        <f>INDEX('Brown tagset'!$B:$B,MATCH(IF(ISERROR(FIND("-",Q259)),IF(ISERROR(FIND("+",Q259)),Q259,LEFT(Q259,FIND("+",Q259)-1)),LEFT(Q259,FIND("-",Q259)-1)),'Brown tagset'!$A:$A,0))</f>
        <v>sentence (. ; ? *)</v>
      </c>
      <c r="S259" s="7"/>
      <c r="T259" s="7" t="str">
        <f>INDEX('Brown-Universal mapping'!$B:$B,MATCH(Q259,'Brown-Universal mapping'!$A:$A,0))</f>
        <v>.</v>
      </c>
      <c r="U259" s="7">
        <f t="shared" si="35"/>
        <v>1</v>
      </c>
      <c r="V259" s="7">
        <f t="shared" si="36"/>
        <v>1</v>
      </c>
      <c r="X259" s="12" t="s">
        <v>38</v>
      </c>
      <c r="Y259" s="7" t="s">
        <v>38</v>
      </c>
      <c r="Z259" s="7" t="str">
        <f>INDEX('Brown tagset'!$B:$B,MATCH(IF(ISERROR(FIND("-",Y259)),IF(ISERROR(FIND("+",Y259)),Y259,LEFT(Y259,FIND("+",Y259)-1)),LEFT(Y259,FIND("-",Y259)-1)),'Brown tagset'!$A:$A,0))</f>
        <v>sentence (. ; ? *)</v>
      </c>
      <c r="AA259" s="7"/>
      <c r="AB259" s="7" t="str">
        <f>INDEX('Brown-Universal mapping'!$B:$B,MATCH(Y259,'Brown-Universal mapping'!$A:$A,0))</f>
        <v>.</v>
      </c>
      <c r="AC259" s="7">
        <f t="shared" si="39"/>
        <v>1</v>
      </c>
      <c r="AD259" s="7">
        <f t="shared" si="40"/>
        <v>1</v>
      </c>
      <c r="AF259" s="9" t="s">
        <v>38</v>
      </c>
      <c r="AG259" s="9" t="str">
        <f>INDEX('Brown tagset'!$B:$B,MATCH(IF(ISERROR(FIND("-",AF259)),IF(ISERROR(FIND("+",AF259)),AF259,LEFT(AF259,FIND("+",AF259)-1)),LEFT(AF259,FIND("-",AF259)-1)),'Brown tagset'!$A:$A,0))</f>
        <v>sentence (. ; ? *)</v>
      </c>
      <c r="AH259" s="9" t="s">
        <v>38</v>
      </c>
      <c r="AI259" s="9" t="str">
        <f>INDEX('Brown-Universal mapping'!$B:$B,MATCH(AF259,'Brown-Universal mapping'!$A:$A,0))</f>
        <v>.</v>
      </c>
      <c r="AJ259" s="9">
        <f t="shared" si="37"/>
        <v>1</v>
      </c>
      <c r="AK259" s="9">
        <f t="shared" si="38"/>
        <v>1</v>
      </c>
      <c r="AM259" s="6">
        <f t="shared" si="41"/>
        <v>3</v>
      </c>
      <c r="AN259" s="6">
        <f t="shared" si="42"/>
        <v>3</v>
      </c>
      <c r="AP259" s="6" t="str">
        <f t="shared" si="43"/>
        <v>sentence (. ; ? *)3</v>
      </c>
    </row>
    <row r="260" spans="1:42" x14ac:dyDescent="0.25">
      <c r="A260" s="29" t="s">
        <v>221</v>
      </c>
      <c r="B260" s="29"/>
      <c r="D260" s="3" t="s">
        <v>222</v>
      </c>
      <c r="E260" s="3" t="str">
        <f>INDEX('Brown tagset'!$B:$B,MATCH(IF(ISERROR(FIND("-",D260)),IF(ISERROR(FIND("+",D260)),D260,LEFT(D260,FIND("+",D260)-1)),LEFT(D260,FIND("-",D260)-1)),'Brown tagset'!$A:$A,0))</f>
        <v>singular determiner/quantifier (this, that)</v>
      </c>
      <c r="F260" s="3"/>
      <c r="G260" s="3" t="str">
        <f>INDEX('Brown-Universal mapping'!$B:$B,MATCH(D260,'Brown-Universal mapping'!$A:$A,0))</f>
        <v>PRT</v>
      </c>
      <c r="I260" s="5" t="s">
        <v>222</v>
      </c>
      <c r="J260" s="5" t="str">
        <f>INDEX('Brown tagset'!$B:$B,MATCH(IF(ISERROR(FIND("-",I260)),IF(ISERROR(FIND("+",I260)),I260,LEFT(I260,FIND("+",I260)-1)),LEFT(I260,FIND("-",I260)-1)),'Brown tagset'!$A:$A,0))</f>
        <v>singular determiner/quantifier (this, that)</v>
      </c>
      <c r="K260" s="5" t="s">
        <v>2</v>
      </c>
      <c r="L260" s="5" t="str">
        <f>INDEX('Brown-Universal mapping'!$B:$B,MATCH(I260,'Brown-Universal mapping'!$A:$A,0))</f>
        <v>PRT</v>
      </c>
      <c r="M260" s="5">
        <f t="shared" si="33"/>
        <v>1</v>
      </c>
      <c r="N260" s="5">
        <f t="shared" si="34"/>
        <v>1</v>
      </c>
      <c r="P260" s="12" t="s">
        <v>331</v>
      </c>
      <c r="Q260" s="7" t="s">
        <v>320</v>
      </c>
      <c r="R260" s="7" t="str">
        <f>INDEX('Brown tagset'!$B:$B,MATCH(IF(ISERROR(FIND("-",Q260)),IF(ISERROR(FIND("+",Q260)),Q260,LEFT(Q260,FIND("+",Q260)-1)),LEFT(Q260,FIND("-",Q260)-1)),'Brown tagset'!$A:$A,0))</f>
        <v>singular determiner/quantifier (this, that)</v>
      </c>
      <c r="S260" s="7"/>
      <c r="T260" s="7" t="str">
        <f>INDEX('Brown-Universal mapping'!$B:$B,MATCH(Q260,'Brown-Universal mapping'!$A:$A,0))</f>
        <v>DET</v>
      </c>
      <c r="U260" s="7">
        <f t="shared" si="35"/>
        <v>0</v>
      </c>
      <c r="V260" s="7">
        <f t="shared" si="36"/>
        <v>0</v>
      </c>
      <c r="X260" s="12" t="s">
        <v>221</v>
      </c>
      <c r="Y260" s="7" t="s">
        <v>872</v>
      </c>
      <c r="Z260" s="7" t="str">
        <f>INDEX('Brown tagset'!$B:$B,MATCH(IF(ISERROR(FIND("-",Y260)),IF(ISERROR(FIND("+",Y260)),Y260,LEFT(Y260,FIND("+",Y260)-1)),LEFT(Y260,FIND("-",Y260)-1)),'Brown tagset'!$A:$A,0))</f>
        <v>singular determiner/quantifier (this, that)</v>
      </c>
      <c r="AA260" s="7"/>
      <c r="AB260" s="7" t="str">
        <f>INDEX('Brown-Universal mapping'!$B:$B,MATCH(Y260,'Brown-Universal mapping'!$A:$A,0))</f>
        <v>PRT</v>
      </c>
      <c r="AC260" s="7">
        <f t="shared" si="39"/>
        <v>1</v>
      </c>
      <c r="AD260" s="7">
        <f t="shared" si="40"/>
        <v>1</v>
      </c>
      <c r="AF260" s="9" t="s">
        <v>222</v>
      </c>
      <c r="AG260" s="9" t="str">
        <f>INDEX('Brown tagset'!$B:$B,MATCH(IF(ISERROR(FIND("-",AF260)),IF(ISERROR(FIND("+",AF260)),AF260,LEFT(AF260,FIND("+",AF260)-1)),LEFT(AF260,FIND("-",AF260)-1)),'Brown tagset'!$A:$A,0))</f>
        <v>singular determiner/quantifier (this, that)</v>
      </c>
      <c r="AH260" s="9" t="s">
        <v>2</v>
      </c>
      <c r="AI260" s="9" t="str">
        <f>INDEX('Brown-Universal mapping'!$B:$B,MATCH(AF260,'Brown-Universal mapping'!$A:$A,0))</f>
        <v>PRT</v>
      </c>
      <c r="AJ260" s="9">
        <f t="shared" si="37"/>
        <v>1</v>
      </c>
      <c r="AK260" s="9">
        <f t="shared" si="38"/>
        <v>1</v>
      </c>
      <c r="AM260" s="6">
        <f t="shared" si="41"/>
        <v>3</v>
      </c>
      <c r="AN260" s="6">
        <f t="shared" si="42"/>
        <v>3</v>
      </c>
      <c r="AP260" s="6" t="str">
        <f t="shared" si="43"/>
        <v>singular determiner/quantifier (this, that)3</v>
      </c>
    </row>
    <row r="261" spans="1:42" x14ac:dyDescent="0.25">
      <c r="A261" s="29" t="s">
        <v>28</v>
      </c>
      <c r="B261" s="29"/>
      <c r="D261" s="3" t="s">
        <v>29</v>
      </c>
      <c r="E261" s="3" t="str">
        <f>INDEX('Brown tagset'!$B:$B,MATCH(IF(ISERROR(FIND("-",D261)),IF(ISERROR(FIND("+",D261)),D261,LEFT(D261,FIND("+",D261)-1)),LEFT(D261,FIND("-",D261)-1)),'Brown tagset'!$A:$A,0))</f>
        <v>subordinating conjunction (if, although)</v>
      </c>
      <c r="F261" s="3"/>
      <c r="G261" s="3" t="str">
        <f>INDEX('Brown-Universal mapping'!$B:$B,MATCH(D261,'Brown-Universal mapping'!$A:$A,0))</f>
        <v>ADP</v>
      </c>
      <c r="I261" s="5" t="s">
        <v>29</v>
      </c>
      <c r="J261" s="5" t="str">
        <f>INDEX('Brown tagset'!$B:$B,MATCH(IF(ISERROR(FIND("-",I261)),IF(ISERROR(FIND("+",I261)),I261,LEFT(I261,FIND("+",I261)-1)),LEFT(I261,FIND("-",I261)-1)),'Brown tagset'!$A:$A,0))</f>
        <v>subordinating conjunction (if, although)</v>
      </c>
      <c r="K261" s="5" t="s">
        <v>2</v>
      </c>
      <c r="L261" s="5" t="str">
        <f>INDEX('Brown-Universal mapping'!$B:$B,MATCH(I261,'Brown-Universal mapping'!$A:$A,0))</f>
        <v>ADP</v>
      </c>
      <c r="M261" s="5">
        <f t="shared" si="33"/>
        <v>1</v>
      </c>
      <c r="N261" s="5">
        <f t="shared" si="34"/>
        <v>1</v>
      </c>
      <c r="P261" s="12" t="s">
        <v>28</v>
      </c>
      <c r="Q261" s="7" t="s">
        <v>294</v>
      </c>
      <c r="R261" s="7" t="str">
        <f>INDEX('Brown tagset'!$B:$B,MATCH(IF(ISERROR(FIND("-",Q261)),IF(ISERROR(FIND("+",Q261)),Q261,LEFT(Q261,FIND("+",Q261)-1)),LEFT(Q261,FIND("-",Q261)-1)),'Brown tagset'!$A:$A,0))</f>
        <v>subordinating conjunction (if, although)</v>
      </c>
      <c r="S261" s="7"/>
      <c r="T261" s="7" t="str">
        <f>INDEX('Brown-Universal mapping'!$B:$B,MATCH(Q261,'Brown-Universal mapping'!$A:$A,0))</f>
        <v>ADP</v>
      </c>
      <c r="U261" s="7">
        <f t="shared" si="35"/>
        <v>1</v>
      </c>
      <c r="V261" s="7">
        <f t="shared" si="36"/>
        <v>1</v>
      </c>
      <c r="X261" s="12" t="s">
        <v>28</v>
      </c>
      <c r="Y261" s="7" t="s">
        <v>294</v>
      </c>
      <c r="Z261" s="7" t="str">
        <f>INDEX('Brown tagset'!$B:$B,MATCH(IF(ISERROR(FIND("-",Y261)),IF(ISERROR(FIND("+",Y261)),Y261,LEFT(Y261,FIND("+",Y261)-1)),LEFT(Y261,FIND("-",Y261)-1)),'Brown tagset'!$A:$A,0))</f>
        <v>subordinating conjunction (if, although)</v>
      </c>
      <c r="AA261" s="7"/>
      <c r="AB261" s="7" t="str">
        <f>INDEX('Brown-Universal mapping'!$B:$B,MATCH(Y261,'Brown-Universal mapping'!$A:$A,0))</f>
        <v>ADP</v>
      </c>
      <c r="AC261" s="7">
        <f t="shared" si="39"/>
        <v>1</v>
      </c>
      <c r="AD261" s="7">
        <f t="shared" si="40"/>
        <v>1</v>
      </c>
      <c r="AF261" s="9" t="s">
        <v>29</v>
      </c>
      <c r="AG261" s="9" t="str">
        <f>INDEX('Brown tagset'!$B:$B,MATCH(IF(ISERROR(FIND("-",AF261)),IF(ISERROR(FIND("+",AF261)),AF261,LEFT(AF261,FIND("+",AF261)-1)),LEFT(AF261,FIND("-",AF261)-1)),'Brown tagset'!$A:$A,0))</f>
        <v>subordinating conjunction (if, although)</v>
      </c>
      <c r="AH261" s="9" t="s">
        <v>2</v>
      </c>
      <c r="AI261" s="9" t="str">
        <f>INDEX('Brown-Universal mapping'!$B:$B,MATCH(AF261,'Brown-Universal mapping'!$A:$A,0))</f>
        <v>ADP</v>
      </c>
      <c r="AJ261" s="9">
        <f t="shared" si="37"/>
        <v>1</v>
      </c>
      <c r="AK261" s="9">
        <f t="shared" si="38"/>
        <v>1</v>
      </c>
      <c r="AM261" s="6">
        <f t="shared" si="41"/>
        <v>3</v>
      </c>
      <c r="AN261" s="6">
        <f t="shared" si="42"/>
        <v>3</v>
      </c>
      <c r="AP261" s="6" t="str">
        <f t="shared" si="43"/>
        <v>subordinating conjunction (if, although)3</v>
      </c>
    </row>
    <row r="262" spans="1:42" x14ac:dyDescent="0.25">
      <c r="A262" s="29" t="s">
        <v>90</v>
      </c>
      <c r="B262" s="29"/>
      <c r="D262" s="3" t="s">
        <v>7</v>
      </c>
      <c r="E262" s="3" t="str">
        <f>INDEX('Brown tagset'!$B:$B,MATCH(IF(ISERROR(FIND("-",D262)),IF(ISERROR(FIND("+",D262)),D262,LEFT(D262,FIND("+",D262)-1)),LEFT(D262,FIND("-",D262)-1)),'Brown tagset'!$A:$A,0))</f>
        <v>article (a, the, no)</v>
      </c>
      <c r="F262" s="3"/>
      <c r="G262" s="3" t="str">
        <f>INDEX('Brown-Universal mapping'!$B:$B,MATCH(D262,'Brown-Universal mapping'!$A:$A,0))</f>
        <v>DET</v>
      </c>
      <c r="I262" s="5" t="s">
        <v>7</v>
      </c>
      <c r="J262" s="5" t="str">
        <f>INDEX('Brown tagset'!$B:$B,MATCH(IF(ISERROR(FIND("-",I262)),IF(ISERROR(FIND("+",I262)),I262,LEFT(I262,FIND("+",I262)-1)),LEFT(I262,FIND("-",I262)-1)),'Brown tagset'!$A:$A,0))</f>
        <v>article (a, the, no)</v>
      </c>
      <c r="K262" s="5" t="s">
        <v>2</v>
      </c>
      <c r="L262" s="5" t="str">
        <f>INDEX('Brown-Universal mapping'!$B:$B,MATCH(I262,'Brown-Universal mapping'!$A:$A,0))</f>
        <v>DET</v>
      </c>
      <c r="M262" s="5">
        <f t="shared" si="33"/>
        <v>1</v>
      </c>
      <c r="N262" s="5">
        <f t="shared" si="34"/>
        <v>1</v>
      </c>
      <c r="P262" s="12" t="s">
        <v>90</v>
      </c>
      <c r="Q262" s="7" t="s">
        <v>89</v>
      </c>
      <c r="R262" s="7" t="str">
        <f>INDEX('Brown tagset'!$B:$B,MATCH(IF(ISERROR(FIND("-",Q262)),IF(ISERROR(FIND("+",Q262)),Q262,LEFT(Q262,FIND("+",Q262)-1)),LEFT(Q262,FIND("-",Q262)-1)),'Brown tagset'!$A:$A,0))</f>
        <v>article (a, the, no)</v>
      </c>
      <c r="S262" s="7"/>
      <c r="T262" s="7" t="str">
        <f>INDEX('Brown-Universal mapping'!$B:$B,MATCH(Q262,'Brown-Universal mapping'!$A:$A,0))</f>
        <v>DET</v>
      </c>
      <c r="U262" s="7">
        <f t="shared" si="35"/>
        <v>1</v>
      </c>
      <c r="V262" s="7">
        <f t="shared" si="36"/>
        <v>1</v>
      </c>
      <c r="X262" s="12" t="s">
        <v>90</v>
      </c>
      <c r="Y262" s="7" t="s">
        <v>89</v>
      </c>
      <c r="Z262" s="7" t="str">
        <f>INDEX('Brown tagset'!$B:$B,MATCH(IF(ISERROR(FIND("-",Y262)),IF(ISERROR(FIND("+",Y262)),Y262,LEFT(Y262,FIND("+",Y262)-1)),LEFT(Y262,FIND("-",Y262)-1)),'Brown tagset'!$A:$A,0))</f>
        <v>article (a, the, no)</v>
      </c>
      <c r="AA262" s="7"/>
      <c r="AB262" s="7" t="str">
        <f>INDEX('Brown-Universal mapping'!$B:$B,MATCH(Y262,'Brown-Universal mapping'!$A:$A,0))</f>
        <v>DET</v>
      </c>
      <c r="AC262" s="7">
        <f t="shared" si="39"/>
        <v>1</v>
      </c>
      <c r="AD262" s="7">
        <f t="shared" si="40"/>
        <v>1</v>
      </c>
      <c r="AF262" s="9" t="s">
        <v>7</v>
      </c>
      <c r="AG262" s="9" t="str">
        <f>INDEX('Brown tagset'!$B:$B,MATCH(IF(ISERROR(FIND("-",AF262)),IF(ISERROR(FIND("+",AF262)),AF262,LEFT(AF262,FIND("+",AF262)-1)),LEFT(AF262,FIND("-",AF262)-1)),'Brown tagset'!$A:$A,0))</f>
        <v>article (a, the, no)</v>
      </c>
      <c r="AH262" s="9" t="s">
        <v>2</v>
      </c>
      <c r="AI262" s="9" t="str">
        <f>INDEX('Brown-Universal mapping'!$B:$B,MATCH(AF262,'Brown-Universal mapping'!$A:$A,0))</f>
        <v>DET</v>
      </c>
      <c r="AJ262" s="9">
        <f t="shared" si="37"/>
        <v>1</v>
      </c>
      <c r="AK262" s="9">
        <f t="shared" si="38"/>
        <v>1</v>
      </c>
      <c r="AM262" s="6">
        <f t="shared" si="41"/>
        <v>3</v>
      </c>
      <c r="AN262" s="6">
        <f t="shared" si="42"/>
        <v>3</v>
      </c>
      <c r="AP262" s="6" t="str">
        <f t="shared" si="43"/>
        <v>article (a, the, no)3</v>
      </c>
    </row>
    <row r="263" spans="1:42" x14ac:dyDescent="0.25">
      <c r="A263" s="29" t="s">
        <v>223</v>
      </c>
      <c r="B263" s="29"/>
      <c r="D263" s="3" t="s">
        <v>45</v>
      </c>
      <c r="E263" s="3" t="str">
        <f>INDEX('Brown tagset'!$B:$B,MATCH(IF(ISERROR(FIND("-",D263)),IF(ISERROR(FIND("+",D263)),D263,LEFT(D263,FIND("+",D263)-1)),LEFT(D263,FIND("-",D263)-1)),'Brown tagset'!$A:$A,0))</f>
        <v>adjective</v>
      </c>
      <c r="F263" s="3"/>
      <c r="G263" s="3" t="str">
        <f>INDEX('Brown-Universal mapping'!$B:$B,MATCH(D263,'Brown-Universal mapping'!$A:$A,0))</f>
        <v>ADJ</v>
      </c>
      <c r="I263" s="5" t="s">
        <v>45</v>
      </c>
      <c r="J263" s="5" t="str">
        <f>INDEX('Brown tagset'!$B:$B,MATCH(IF(ISERROR(FIND("-",I263)),IF(ISERROR(FIND("+",I263)),I263,LEFT(I263,FIND("+",I263)-1)),LEFT(I263,FIND("-",I263)-1)),'Brown tagset'!$A:$A,0))</f>
        <v>adjective</v>
      </c>
      <c r="K263" s="5" t="s">
        <v>46</v>
      </c>
      <c r="L263" s="5" t="str">
        <f>INDEX('Brown-Universal mapping'!$B:$B,MATCH(I263,'Brown-Universal mapping'!$A:$A,0))</f>
        <v>ADJ</v>
      </c>
      <c r="M263" s="5">
        <f t="shared" si="33"/>
        <v>1</v>
      </c>
      <c r="N263" s="5">
        <f t="shared" si="34"/>
        <v>1</v>
      </c>
      <c r="P263" s="12" t="s">
        <v>223</v>
      </c>
      <c r="Q263" s="7" t="s">
        <v>289</v>
      </c>
      <c r="R263" s="7" t="str">
        <f>INDEX('Brown tagset'!$B:$B,MATCH(IF(ISERROR(FIND("-",Q263)),IF(ISERROR(FIND("+",Q263)),Q263,LEFT(Q263,FIND("+",Q263)-1)),LEFT(Q263,FIND("-",Q263)-1)),'Brown tagset'!$A:$A,0))</f>
        <v>singular or mass noun</v>
      </c>
      <c r="S263" s="7"/>
      <c r="T263" s="7" t="str">
        <f>INDEX('Brown-Universal mapping'!$B:$B,MATCH(Q263,'Brown-Universal mapping'!$A:$A,0))</f>
        <v>NOUN</v>
      </c>
      <c r="U263" s="7">
        <f t="shared" si="35"/>
        <v>0</v>
      </c>
      <c r="V263" s="7">
        <f t="shared" si="36"/>
        <v>0</v>
      </c>
      <c r="X263" s="12" t="s">
        <v>223</v>
      </c>
      <c r="Y263" s="7" t="s">
        <v>299</v>
      </c>
      <c r="Z263" s="7" t="str">
        <f>INDEX('Brown tagset'!$B:$B,MATCH(IF(ISERROR(FIND("-",Y263)),IF(ISERROR(FIND("+",Y263)),Y263,LEFT(Y263,FIND("+",Y263)-1)),LEFT(Y263,FIND("-",Y263)-1)),'Brown tagset'!$A:$A,0))</f>
        <v>adjective</v>
      </c>
      <c r="AA263" s="7"/>
      <c r="AB263" s="7" t="str">
        <f>INDEX('Brown-Universal mapping'!$B:$B,MATCH(Y263,'Brown-Universal mapping'!$A:$A,0))</f>
        <v>ADJ</v>
      </c>
      <c r="AC263" s="7">
        <f t="shared" si="39"/>
        <v>1</v>
      </c>
      <c r="AD263" s="7">
        <f t="shared" si="40"/>
        <v>1</v>
      </c>
      <c r="AF263" s="9" t="s">
        <v>45</v>
      </c>
      <c r="AG263" s="9" t="str">
        <f>INDEX('Brown tagset'!$B:$B,MATCH(IF(ISERROR(FIND("-",AF263)),IF(ISERROR(FIND("+",AF263)),AF263,LEFT(AF263,FIND("+",AF263)-1)),LEFT(AF263,FIND("-",AF263)-1)),'Brown tagset'!$A:$A,0))</f>
        <v>adjective</v>
      </c>
      <c r="AH263" s="9" t="s">
        <v>46</v>
      </c>
      <c r="AI263" s="9" t="str">
        <f>INDEX('Brown-Universal mapping'!$B:$B,MATCH(AF263,'Brown-Universal mapping'!$A:$A,0))</f>
        <v>ADJ</v>
      </c>
      <c r="AJ263" s="9">
        <f t="shared" si="37"/>
        <v>1</v>
      </c>
      <c r="AK263" s="9">
        <f t="shared" si="38"/>
        <v>1</v>
      </c>
      <c r="AM263" s="6">
        <f t="shared" si="41"/>
        <v>3</v>
      </c>
      <c r="AN263" s="6">
        <f t="shared" si="42"/>
        <v>3</v>
      </c>
      <c r="AP263" s="6" t="str">
        <f t="shared" si="43"/>
        <v>adjective3</v>
      </c>
    </row>
    <row r="264" spans="1:42" x14ac:dyDescent="0.25">
      <c r="A264" s="29" t="s">
        <v>224</v>
      </c>
      <c r="B264" s="29"/>
      <c r="D264" s="3" t="s">
        <v>12</v>
      </c>
      <c r="E264" s="3" t="str">
        <f>INDEX('Brown tagset'!$B:$B,MATCH(IF(ISERROR(FIND("-",D264)),IF(ISERROR(FIND("+",D264)),D264,LEFT(D264,FIND("+",D264)-1)),LEFT(D264,FIND("-",D264)-1)),'Brown tagset'!$A:$A,0))</f>
        <v>singular or mass noun</v>
      </c>
      <c r="F264" s="3"/>
      <c r="G264" s="3" t="str">
        <f>INDEX('Brown-Universal mapping'!$B:$B,MATCH(D264,'Brown-Universal mapping'!$A:$A,0))</f>
        <v>NOUN</v>
      </c>
      <c r="I264" s="5" t="s">
        <v>12</v>
      </c>
      <c r="J264" s="5" t="str">
        <f>INDEX('Brown tagset'!$B:$B,MATCH(IF(ISERROR(FIND("-",I264)),IF(ISERROR(FIND("+",I264)),I264,LEFT(I264,FIND("+",I264)-1)),LEFT(I264,FIND("-",I264)-1)),'Brown tagset'!$A:$A,0))</f>
        <v>singular or mass noun</v>
      </c>
      <c r="K264" s="5" t="s">
        <v>13</v>
      </c>
      <c r="L264" s="5" t="str">
        <f>INDEX('Brown-Universal mapping'!$B:$B,MATCH(I264,'Brown-Universal mapping'!$A:$A,0))</f>
        <v>NOUN</v>
      </c>
      <c r="M264" s="5">
        <f t="shared" si="33"/>
        <v>1</v>
      </c>
      <c r="N264" s="5">
        <f t="shared" si="34"/>
        <v>1</v>
      </c>
      <c r="P264" s="12" t="s">
        <v>224</v>
      </c>
      <c r="Q264" s="7" t="s">
        <v>289</v>
      </c>
      <c r="R264" s="7" t="str">
        <f>INDEX('Brown tagset'!$B:$B,MATCH(IF(ISERROR(FIND("-",Q264)),IF(ISERROR(FIND("+",Q264)),Q264,LEFT(Q264,FIND("+",Q264)-1)),LEFT(Q264,FIND("-",Q264)-1)),'Brown tagset'!$A:$A,0))</f>
        <v>singular or mass noun</v>
      </c>
      <c r="S264" s="7"/>
      <c r="T264" s="7" t="str">
        <f>INDEX('Brown-Universal mapping'!$B:$B,MATCH(Q264,'Brown-Universal mapping'!$A:$A,0))</f>
        <v>NOUN</v>
      </c>
      <c r="U264" s="7">
        <f t="shared" si="35"/>
        <v>1</v>
      </c>
      <c r="V264" s="7">
        <f t="shared" si="36"/>
        <v>1</v>
      </c>
      <c r="X264" s="12" t="s">
        <v>224</v>
      </c>
      <c r="Y264" s="7" t="s">
        <v>289</v>
      </c>
      <c r="Z264" s="7" t="str">
        <f>INDEX('Brown tagset'!$B:$B,MATCH(IF(ISERROR(FIND("-",Y264)),IF(ISERROR(FIND("+",Y264)),Y264,LEFT(Y264,FIND("+",Y264)-1)),LEFT(Y264,FIND("-",Y264)-1)),'Brown tagset'!$A:$A,0))</f>
        <v>singular or mass noun</v>
      </c>
      <c r="AA264" s="7"/>
      <c r="AB264" s="7" t="str">
        <f>INDEX('Brown-Universal mapping'!$B:$B,MATCH(Y264,'Brown-Universal mapping'!$A:$A,0))</f>
        <v>NOUN</v>
      </c>
      <c r="AC264" s="7">
        <f t="shared" si="39"/>
        <v>1</v>
      </c>
      <c r="AD264" s="7">
        <f t="shared" si="40"/>
        <v>1</v>
      </c>
      <c r="AF264" s="9" t="s">
        <v>12</v>
      </c>
      <c r="AG264" s="9" t="str">
        <f>INDEX('Brown tagset'!$B:$B,MATCH(IF(ISERROR(FIND("-",AF264)),IF(ISERROR(FIND("+",AF264)),AF264,LEFT(AF264,FIND("+",AF264)-1)),LEFT(AF264,FIND("-",AF264)-1)),'Brown tagset'!$A:$A,0))</f>
        <v>singular or mass noun</v>
      </c>
      <c r="AH264" s="9" t="s">
        <v>13</v>
      </c>
      <c r="AI264" s="9" t="str">
        <f>INDEX('Brown-Universal mapping'!$B:$B,MATCH(AF264,'Brown-Universal mapping'!$A:$A,0))</f>
        <v>NOUN</v>
      </c>
      <c r="AJ264" s="9">
        <f t="shared" si="37"/>
        <v>1</v>
      </c>
      <c r="AK264" s="9">
        <f t="shared" si="38"/>
        <v>1</v>
      </c>
      <c r="AM264" s="6">
        <f t="shared" si="41"/>
        <v>3</v>
      </c>
      <c r="AN264" s="6">
        <f t="shared" si="42"/>
        <v>3</v>
      </c>
      <c r="AP264" s="6" t="str">
        <f t="shared" si="43"/>
        <v>singular or mass noun3</v>
      </c>
    </row>
    <row r="265" spans="1:42" x14ac:dyDescent="0.25">
      <c r="A265" s="29" t="s">
        <v>225</v>
      </c>
      <c r="B265" s="29"/>
      <c r="D265" s="3" t="s">
        <v>196</v>
      </c>
      <c r="E265" s="3" t="str">
        <f>INDEX('Brown tagset'!$B:$B,MATCH(IF(ISERROR(FIND("-",D265)),IF(ISERROR(FIND("+",D265)),D265,LEFT(D265,FIND("+",D265)-1)),LEFT(D265,FIND("-",D265)-1)),'Brown tagset'!$A:$A,0))</f>
        <v>verb, 3rd. singular present</v>
      </c>
      <c r="F265" s="3"/>
      <c r="G265" s="3" t="str">
        <f>INDEX('Brown-Universal mapping'!$B:$B,MATCH(D265,'Brown-Universal mapping'!$A:$A,0))</f>
        <v>VERB</v>
      </c>
      <c r="I265" s="5" t="s">
        <v>196</v>
      </c>
      <c r="J265" s="5" t="str">
        <f>INDEX('Brown tagset'!$B:$B,MATCH(IF(ISERROR(FIND("-",I265)),IF(ISERROR(FIND("+",I265)),I265,LEFT(I265,FIND("+",I265)-1)),LEFT(I265,FIND("-",I265)-1)),'Brown tagset'!$A:$A,0))</f>
        <v>verb, 3rd. singular present</v>
      </c>
      <c r="K265" s="5" t="s">
        <v>10</v>
      </c>
      <c r="L265" s="5" t="str">
        <f>INDEX('Brown-Universal mapping'!$B:$B,MATCH(I265,'Brown-Universal mapping'!$A:$A,0))</f>
        <v>VERB</v>
      </c>
      <c r="M265" s="5">
        <f t="shared" si="33"/>
        <v>1</v>
      </c>
      <c r="N265" s="5">
        <f t="shared" si="34"/>
        <v>1</v>
      </c>
      <c r="P265" s="12" t="s">
        <v>225</v>
      </c>
      <c r="Q265" s="7" t="s">
        <v>315</v>
      </c>
      <c r="R265" s="7" t="str">
        <f>INDEX('Brown tagset'!$B:$B,MATCH(IF(ISERROR(FIND("-",Q265)),IF(ISERROR(FIND("+",Q265)),Q265,LEFT(Q265,FIND("+",Q265)-1)),LEFT(Q265,FIND("-",Q265)-1)),'Brown tagset'!$A:$A,0))</f>
        <v>verb, 3rd. singular present</v>
      </c>
      <c r="S265" s="7"/>
      <c r="T265" s="7" t="str">
        <f>INDEX('Brown-Universal mapping'!$B:$B,MATCH(Q265,'Brown-Universal mapping'!$A:$A,0))</f>
        <v>VERB</v>
      </c>
      <c r="U265" s="7">
        <f t="shared" si="35"/>
        <v>1</v>
      </c>
      <c r="V265" s="7">
        <f t="shared" si="36"/>
        <v>1</v>
      </c>
      <c r="X265" s="12" t="s">
        <v>225</v>
      </c>
      <c r="Y265" s="7" t="s">
        <v>315</v>
      </c>
      <c r="Z265" s="7" t="str">
        <f>INDEX('Brown tagset'!$B:$B,MATCH(IF(ISERROR(FIND("-",Y265)),IF(ISERROR(FIND("+",Y265)),Y265,LEFT(Y265,FIND("+",Y265)-1)),LEFT(Y265,FIND("-",Y265)-1)),'Brown tagset'!$A:$A,0))</f>
        <v>verb, 3rd. singular present</v>
      </c>
      <c r="AA265" s="7"/>
      <c r="AB265" s="7" t="str">
        <f>INDEX('Brown-Universal mapping'!$B:$B,MATCH(Y265,'Brown-Universal mapping'!$A:$A,0))</f>
        <v>VERB</v>
      </c>
      <c r="AC265" s="7">
        <f t="shared" si="39"/>
        <v>1</v>
      </c>
      <c r="AD265" s="7">
        <f t="shared" si="40"/>
        <v>1</v>
      </c>
      <c r="AF265" s="9" t="s">
        <v>196</v>
      </c>
      <c r="AG265" s="9" t="str">
        <f>INDEX('Brown tagset'!$B:$B,MATCH(IF(ISERROR(FIND("-",AF265)),IF(ISERROR(FIND("+",AF265)),AF265,LEFT(AF265,FIND("+",AF265)-1)),LEFT(AF265,FIND("-",AF265)-1)),'Brown tagset'!$A:$A,0))</f>
        <v>verb, 3rd. singular present</v>
      </c>
      <c r="AH265" s="9" t="s">
        <v>10</v>
      </c>
      <c r="AI265" s="9" t="str">
        <f>INDEX('Brown-Universal mapping'!$B:$B,MATCH(AF265,'Brown-Universal mapping'!$A:$A,0))</f>
        <v>VERB</v>
      </c>
      <c r="AJ265" s="9">
        <f t="shared" si="37"/>
        <v>1</v>
      </c>
      <c r="AK265" s="9">
        <f t="shared" si="38"/>
        <v>1</v>
      </c>
      <c r="AM265" s="6">
        <f t="shared" si="41"/>
        <v>3</v>
      </c>
      <c r="AN265" s="6">
        <f t="shared" si="42"/>
        <v>3</v>
      </c>
      <c r="AP265" s="6" t="str">
        <f t="shared" si="43"/>
        <v>verb, 3rd. singular present3</v>
      </c>
    </row>
    <row r="266" spans="1:42" x14ac:dyDescent="0.25">
      <c r="A266" s="29" t="s">
        <v>226</v>
      </c>
      <c r="B266" s="29">
        <v>1</v>
      </c>
      <c r="C266" s="4">
        <v>1</v>
      </c>
      <c r="D266" s="3" t="s">
        <v>4</v>
      </c>
      <c r="E266" s="3" t="str">
        <f>INDEX('Brown tagset'!$B:$B,MATCH(IF(ISERROR(FIND("-",D266)),IF(ISERROR(FIND("+",D266)),D266,LEFT(D266,FIND("+",D266)-1)),LEFT(D266,FIND("-",D266)-1)),'Brown tagset'!$A:$A,0))</f>
        <v>adverb</v>
      </c>
      <c r="F266" s="3"/>
      <c r="G266" s="3" t="str">
        <f>INDEX('Brown-Universal mapping'!$B:$B,MATCH(D266,'Brown-Universal mapping'!$A:$A,0))</f>
        <v>ADV</v>
      </c>
      <c r="I266" s="5" t="s">
        <v>4</v>
      </c>
      <c r="J266" s="5" t="str">
        <f>INDEX('Brown tagset'!$B:$B,MATCH(IF(ISERROR(FIND("-",I266)),IF(ISERROR(FIND("+",I266)),I266,LEFT(I266,FIND("+",I266)-1)),LEFT(I266,FIND("-",I266)-1)),'Brown tagset'!$A:$A,0))</f>
        <v>adverb</v>
      </c>
      <c r="K266" s="5" t="s">
        <v>5</v>
      </c>
      <c r="L266" s="5" t="str">
        <f>INDEX('Brown-Universal mapping'!$B:$B,MATCH(I266,'Brown-Universal mapping'!$A:$A,0))</f>
        <v>ADV</v>
      </c>
      <c r="M266" s="5">
        <f t="shared" si="33"/>
        <v>1</v>
      </c>
      <c r="N266" s="5">
        <f t="shared" si="34"/>
        <v>1</v>
      </c>
      <c r="P266" s="12" t="s">
        <v>226</v>
      </c>
      <c r="Q266" s="7" t="s">
        <v>332</v>
      </c>
      <c r="R266" s="7" t="str">
        <f>INDEX('Brown tagset'!$B:$B,MATCH(IF(ISERROR(FIND("-",Q266)),IF(ISERROR(FIND("+",Q266)),Q266,LEFT(Q266,FIND("+",Q266)-1)),LEFT(Q266,FIND("-",Q266)-1)),'Brown tagset'!$A:$A,0))</f>
        <v>post-determiner (many, several, next)</v>
      </c>
      <c r="S266" s="7"/>
      <c r="T266" s="7" t="str">
        <f>INDEX('Brown-Universal mapping'!$B:$B,MATCH(Q266,'Brown-Universal mapping'!$A:$A,0))</f>
        <v>ADJ</v>
      </c>
      <c r="U266" s="7">
        <f t="shared" si="35"/>
        <v>0</v>
      </c>
      <c r="V266" s="7">
        <f t="shared" si="36"/>
        <v>0</v>
      </c>
      <c r="X266" s="12" t="s">
        <v>226</v>
      </c>
      <c r="Y266" s="7" t="s">
        <v>288</v>
      </c>
      <c r="Z266" s="7" t="str">
        <f>INDEX('Brown tagset'!$B:$B,MATCH(IF(ISERROR(FIND("-",Y266)),IF(ISERROR(FIND("+",Y266)),Y266,LEFT(Y266,FIND("+",Y266)-1)),LEFT(Y266,FIND("-",Y266)-1)),'Brown tagset'!$A:$A,0))</f>
        <v>adverb</v>
      </c>
      <c r="AA266" s="7"/>
      <c r="AB266" s="7" t="str">
        <f>INDEX('Brown-Universal mapping'!$B:$B,MATCH(Y266,'Brown-Universal mapping'!$A:$A,0))</f>
        <v>ADV</v>
      </c>
      <c r="AC266" s="7">
        <f t="shared" si="39"/>
        <v>1</v>
      </c>
      <c r="AD266" s="7">
        <f t="shared" si="40"/>
        <v>1</v>
      </c>
      <c r="AF266" s="9" t="s">
        <v>4</v>
      </c>
      <c r="AG266" s="9" t="str">
        <f>INDEX('Brown tagset'!$B:$B,MATCH(IF(ISERROR(FIND("-",AF266)),IF(ISERROR(FIND("+",AF266)),AF266,LEFT(AF266,FIND("+",AF266)-1)),LEFT(AF266,FIND("-",AF266)-1)),'Brown tagset'!$A:$A,0))</f>
        <v>adverb</v>
      </c>
      <c r="AH266" s="9" t="s">
        <v>5</v>
      </c>
      <c r="AI266" s="9" t="str">
        <f>INDEX('Brown-Universal mapping'!$B:$B,MATCH(AF266,'Brown-Universal mapping'!$A:$A,0))</f>
        <v>ADV</v>
      </c>
      <c r="AJ266" s="9">
        <f t="shared" si="37"/>
        <v>1</v>
      </c>
      <c r="AK266" s="9">
        <f t="shared" si="38"/>
        <v>1</v>
      </c>
      <c r="AM266" s="6">
        <f t="shared" si="41"/>
        <v>3</v>
      </c>
      <c r="AN266" s="6">
        <f t="shared" si="42"/>
        <v>3</v>
      </c>
      <c r="AP266" s="6" t="str">
        <f t="shared" si="43"/>
        <v>adverb3</v>
      </c>
    </row>
    <row r="267" spans="1:42" x14ac:dyDescent="0.25">
      <c r="A267" s="26" t="s">
        <v>216</v>
      </c>
      <c r="B267" s="26"/>
      <c r="D267" s="3" t="s">
        <v>66</v>
      </c>
      <c r="E267" s="3" t="str">
        <f>INDEX('Brown tagset'!$B:$B,MATCH(IF(ISERROR(FIND("-",D267)),IF(ISERROR(FIND("+",D267)),D267,LEFT(D267,FIND("+",D267)-1)),LEFT(D267,FIND("-",D267)-1)),'Brown tagset'!$A:$A,0))</f>
        <v>proper noun or part of name phrase</v>
      </c>
      <c r="F267" s="3"/>
      <c r="G267" s="3" t="str">
        <f>INDEX('Brown-Universal mapping'!$B:$B,MATCH(D267,'Brown-Universal mapping'!$A:$A,0))</f>
        <v>NOUN</v>
      </c>
      <c r="I267" s="5" t="s">
        <v>163</v>
      </c>
      <c r="J267" s="5" t="str">
        <f>INDEX('Brown tagset'!$B:$B,MATCH(IF(ISERROR(FIND("-",I267)),IF(ISERROR(FIND("+",I267)),I267,LEFT(I267,FIND("+",I267)-1)),LEFT(I267,FIND("-",I267)-1)),'Brown tagset'!$A:$A,0))</f>
        <v>comparative adjective</v>
      </c>
      <c r="K267" s="5" t="s">
        <v>46</v>
      </c>
      <c r="L267" s="5" t="str">
        <f>INDEX('Brown-Universal mapping'!$B:$B,MATCH(I267,'Brown-Universal mapping'!$A:$A,0))</f>
        <v>ADJ</v>
      </c>
      <c r="M267" s="5">
        <f t="shared" si="33"/>
        <v>0</v>
      </c>
      <c r="N267" s="5">
        <f t="shared" si="34"/>
        <v>0</v>
      </c>
      <c r="P267" s="12" t="s">
        <v>216</v>
      </c>
      <c r="Q267" s="7" t="s">
        <v>287</v>
      </c>
      <c r="R267" s="7" t="str">
        <f>INDEX('Brown tagset'!$B:$B,MATCH(IF(ISERROR(FIND("-",Q267)),IF(ISERROR(FIND("+",Q267)),Q267,LEFT(Q267,FIND("+",Q267)-1)),LEFT(Q267,FIND("-",Q267)-1)),'Brown tagset'!$A:$A,0))</f>
        <v>proper noun or part of name phrase</v>
      </c>
      <c r="S267" s="7"/>
      <c r="T267" s="7" t="str">
        <f>INDEX('Brown-Universal mapping'!$B:$B,MATCH(Q267,'Brown-Universal mapping'!$A:$A,0))</f>
        <v>NOUN</v>
      </c>
      <c r="U267" s="7">
        <f t="shared" si="35"/>
        <v>1</v>
      </c>
      <c r="V267" s="7">
        <f t="shared" si="36"/>
        <v>1</v>
      </c>
      <c r="X267" s="12" t="s">
        <v>216</v>
      </c>
      <c r="Y267" s="7" t="s">
        <v>287</v>
      </c>
      <c r="Z267" s="7" t="str">
        <f>INDEX('Brown tagset'!$B:$B,MATCH(IF(ISERROR(FIND("-",Y267)),IF(ISERROR(FIND("+",Y267)),Y267,LEFT(Y267,FIND("+",Y267)-1)),LEFT(Y267,FIND("-",Y267)-1)),'Brown tagset'!$A:$A,0))</f>
        <v>proper noun or part of name phrase</v>
      </c>
      <c r="AA267" s="7"/>
      <c r="AB267" s="7" t="str">
        <f>INDEX('Brown-Universal mapping'!$B:$B,MATCH(Y267,'Brown-Universal mapping'!$A:$A,0))</f>
        <v>NOUN</v>
      </c>
      <c r="AC267" s="7">
        <f t="shared" si="39"/>
        <v>1</v>
      </c>
      <c r="AD267" s="7">
        <f t="shared" si="40"/>
        <v>1</v>
      </c>
      <c r="AF267" s="9" t="s">
        <v>340</v>
      </c>
      <c r="AG267" s="9" t="str">
        <f>INDEX('Brown tagset'!$B:$B,MATCH(IF(ISERROR(FIND("-",AF267)),IF(ISERROR(FIND("+",AF267)),AF267,LEFT(AF267,FIND("+",AF267)-1)),LEFT(AF267,FIND("-",AF267)-1)),'Brown tagset'!$A:$A,0))</f>
        <v>unknown</v>
      </c>
      <c r="AH267" s="9" t="s">
        <v>2</v>
      </c>
      <c r="AI267" s="9" t="str">
        <f>INDEX('Brown-Universal mapping'!$B:$B,MATCH(AF267,'Brown-Universal mapping'!$A:$A,0))</f>
        <v>Unknown</v>
      </c>
      <c r="AJ267" s="9">
        <f t="shared" si="37"/>
        <v>0</v>
      </c>
      <c r="AK267" s="9">
        <f t="shared" si="38"/>
        <v>0</v>
      </c>
      <c r="AM267" s="6">
        <f t="shared" si="41"/>
        <v>1</v>
      </c>
      <c r="AN267" s="6">
        <f t="shared" si="42"/>
        <v>1</v>
      </c>
      <c r="AP267" s="6" t="str">
        <f t="shared" si="43"/>
        <v>unknown1</v>
      </c>
    </row>
    <row r="268" spans="1:42" x14ac:dyDescent="0.25">
      <c r="A268" s="29" t="s">
        <v>227</v>
      </c>
      <c r="B268" s="29"/>
      <c r="D268" s="3" t="s">
        <v>31</v>
      </c>
      <c r="E268" s="3" t="str">
        <f>INDEX('Brown tagset'!$B:$B,MATCH(IF(ISERROR(FIND("-",D268)),IF(ISERROR(FIND("+",D268)),D268,LEFT(D268,FIND("+",D268)-1)),LEFT(D268,FIND("-",D268)-1)),'Brown tagset'!$A:$A,0))</f>
        <v>plural noun</v>
      </c>
      <c r="F268" s="3"/>
      <c r="G268" s="3" t="str">
        <f>INDEX('Brown-Universal mapping'!$B:$B,MATCH(D268,'Brown-Universal mapping'!$A:$A,0))</f>
        <v>NOUN</v>
      </c>
      <c r="I268" s="5" t="s">
        <v>31</v>
      </c>
      <c r="J268" s="5" t="str">
        <f>INDEX('Brown tagset'!$B:$B,MATCH(IF(ISERROR(FIND("-",I268)),IF(ISERROR(FIND("+",I268)),I268,LEFT(I268,FIND("+",I268)-1)),LEFT(I268,FIND("-",I268)-1)),'Brown tagset'!$A:$A,0))</f>
        <v>plural noun</v>
      </c>
      <c r="K268" s="5" t="s">
        <v>13</v>
      </c>
      <c r="L268" s="5" t="str">
        <f>INDEX('Brown-Universal mapping'!$B:$B,MATCH(I268,'Brown-Universal mapping'!$A:$A,0))</f>
        <v>NOUN</v>
      </c>
      <c r="M268" s="5">
        <f t="shared" si="33"/>
        <v>1</v>
      </c>
      <c r="N268" s="5">
        <f t="shared" si="34"/>
        <v>1</v>
      </c>
      <c r="P268" s="12" t="s">
        <v>227</v>
      </c>
      <c r="Q268" s="7" t="s">
        <v>295</v>
      </c>
      <c r="R268" s="7" t="str">
        <f>INDEX('Brown tagset'!$B:$B,MATCH(IF(ISERROR(FIND("-",Q268)),IF(ISERROR(FIND("+",Q268)),Q268,LEFT(Q268,FIND("+",Q268)-1)),LEFT(Q268,FIND("-",Q268)-1)),'Brown tagset'!$A:$A,0))</f>
        <v>plural noun</v>
      </c>
      <c r="S268" s="7"/>
      <c r="T268" s="7" t="str">
        <f>INDEX('Brown-Universal mapping'!$B:$B,MATCH(Q268,'Brown-Universal mapping'!$A:$A,0))</f>
        <v>NOUN</v>
      </c>
      <c r="U268" s="7">
        <f t="shared" si="35"/>
        <v>1</v>
      </c>
      <c r="V268" s="7">
        <f t="shared" si="36"/>
        <v>1</v>
      </c>
      <c r="X268" s="12" t="s">
        <v>227</v>
      </c>
      <c r="Y268" s="7" t="s">
        <v>295</v>
      </c>
      <c r="Z268" s="7" t="str">
        <f>INDEX('Brown tagset'!$B:$B,MATCH(IF(ISERROR(FIND("-",Y268)),IF(ISERROR(FIND("+",Y268)),Y268,LEFT(Y268,FIND("+",Y268)-1)),LEFT(Y268,FIND("-",Y268)-1)),'Brown tagset'!$A:$A,0))</f>
        <v>plural noun</v>
      </c>
      <c r="AA268" s="7"/>
      <c r="AB268" s="7" t="str">
        <f>INDEX('Brown-Universal mapping'!$B:$B,MATCH(Y268,'Brown-Universal mapping'!$A:$A,0))</f>
        <v>NOUN</v>
      </c>
      <c r="AC268" s="7">
        <f t="shared" si="39"/>
        <v>1</v>
      </c>
      <c r="AD268" s="7">
        <f t="shared" si="40"/>
        <v>1</v>
      </c>
      <c r="AF268" s="9" t="s">
        <v>31</v>
      </c>
      <c r="AG268" s="9" t="str">
        <f>INDEX('Brown tagset'!$B:$B,MATCH(IF(ISERROR(FIND("-",AF268)),IF(ISERROR(FIND("+",AF268)),AF268,LEFT(AF268,FIND("+",AF268)-1)),LEFT(AF268,FIND("-",AF268)-1)),'Brown tagset'!$A:$A,0))</f>
        <v>plural noun</v>
      </c>
      <c r="AH268" s="9" t="s">
        <v>13</v>
      </c>
      <c r="AI268" s="9" t="str">
        <f>INDEX('Brown-Universal mapping'!$B:$B,MATCH(AF268,'Brown-Universal mapping'!$A:$A,0))</f>
        <v>NOUN</v>
      </c>
      <c r="AJ268" s="9">
        <f t="shared" si="37"/>
        <v>1</v>
      </c>
      <c r="AK268" s="9">
        <f t="shared" si="38"/>
        <v>1</v>
      </c>
      <c r="AM268" s="6">
        <f t="shared" si="41"/>
        <v>3</v>
      </c>
      <c r="AN268" s="6">
        <f t="shared" si="42"/>
        <v>3</v>
      </c>
      <c r="AP268" s="6" t="str">
        <f t="shared" si="43"/>
        <v>plural noun3</v>
      </c>
    </row>
    <row r="269" spans="1:42" x14ac:dyDescent="0.25">
      <c r="A269" s="29" t="s">
        <v>89</v>
      </c>
      <c r="B269" s="29"/>
      <c r="D269" s="3" t="s">
        <v>59</v>
      </c>
      <c r="E269" s="3" t="str">
        <f>INDEX('Brown tagset'!$B:$B,MATCH(IF(ISERROR(FIND("-",D269)),IF(ISERROR(FIND("+",D269)),D269,LEFT(D269,FIND("+",D269)-1)),LEFT(D269,FIND("-",D269)-1)),'Brown tagset'!$A:$A,0))</f>
        <v>preposition</v>
      </c>
      <c r="F269" s="3"/>
      <c r="G269" s="3" t="str">
        <f>INDEX('Brown-Universal mapping'!$B:$B,MATCH(D269,'Brown-Universal mapping'!$A:$A,0))</f>
        <v>ADP</v>
      </c>
      <c r="I269" s="5" t="s">
        <v>59</v>
      </c>
      <c r="J269" s="5" t="str">
        <f>INDEX('Brown tagset'!$B:$B,MATCH(IF(ISERROR(FIND("-",I269)),IF(ISERROR(FIND("+",I269)),I269,LEFT(I269,FIND("+",I269)-1)),LEFT(I269,FIND("-",I269)-1)),'Brown tagset'!$A:$A,0))</f>
        <v>preposition</v>
      </c>
      <c r="K269" s="5" t="s">
        <v>60</v>
      </c>
      <c r="L269" s="5" t="str">
        <f>INDEX('Brown-Universal mapping'!$B:$B,MATCH(I269,'Brown-Universal mapping'!$A:$A,0))</f>
        <v>ADP</v>
      </c>
      <c r="M269" s="5">
        <f t="shared" ref="M269:M331" si="44">IF(I269=$D269,1,0)</f>
        <v>1</v>
      </c>
      <c r="N269" s="5">
        <f t="shared" ref="N269:N331" si="45">IF(L269=$G269,1,0)</f>
        <v>1</v>
      </c>
      <c r="P269" s="12" t="s">
        <v>89</v>
      </c>
      <c r="Q269" s="7" t="s">
        <v>124</v>
      </c>
      <c r="R269" s="7" t="str">
        <f>INDEX('Brown tagset'!$B:$B,MATCH(IF(ISERROR(FIND("-",Q269)),IF(ISERROR(FIND("+",Q269)),Q269,LEFT(Q269,FIND("+",Q269)-1)),LEFT(Q269,FIND("-",Q269)-1)),'Brown tagset'!$A:$A,0))</f>
        <v>preposition</v>
      </c>
      <c r="S269" s="7"/>
      <c r="T269" s="7" t="str">
        <f>INDEX('Brown-Universal mapping'!$B:$B,MATCH(Q269,'Brown-Universal mapping'!$A:$A,0))</f>
        <v>ADP</v>
      </c>
      <c r="U269" s="7">
        <f t="shared" ref="U269:U331" si="46">IF(Q269=$D269,1,0)</f>
        <v>1</v>
      </c>
      <c r="V269" s="7">
        <f t="shared" ref="V269:V331" si="47">IF(T269=$G269,1,0)</f>
        <v>1</v>
      </c>
      <c r="X269" s="12" t="s">
        <v>89</v>
      </c>
      <c r="Y269" s="7" t="s">
        <v>124</v>
      </c>
      <c r="Z269" s="7" t="str">
        <f>INDEX('Brown tagset'!$B:$B,MATCH(IF(ISERROR(FIND("-",Y269)),IF(ISERROR(FIND("+",Y269)),Y269,LEFT(Y269,FIND("+",Y269)-1)),LEFT(Y269,FIND("-",Y269)-1)),'Brown tagset'!$A:$A,0))</f>
        <v>preposition</v>
      </c>
      <c r="AA269" s="7"/>
      <c r="AB269" s="7" t="str">
        <f>INDEX('Brown-Universal mapping'!$B:$B,MATCH(Y269,'Brown-Universal mapping'!$A:$A,0))</f>
        <v>ADP</v>
      </c>
      <c r="AC269" s="7">
        <f t="shared" si="39"/>
        <v>1</v>
      </c>
      <c r="AD269" s="7">
        <f t="shared" si="40"/>
        <v>1</v>
      </c>
      <c r="AF269" s="9" t="s">
        <v>59</v>
      </c>
      <c r="AG269" s="9" t="str">
        <f>INDEX('Brown tagset'!$B:$B,MATCH(IF(ISERROR(FIND("-",AF269)),IF(ISERROR(FIND("+",AF269)),AF269,LEFT(AF269,FIND("+",AF269)-1)),LEFT(AF269,FIND("-",AF269)-1)),'Brown tagset'!$A:$A,0))</f>
        <v>preposition</v>
      </c>
      <c r="AH269" s="9" t="s">
        <v>60</v>
      </c>
      <c r="AI269" s="9" t="str">
        <f>INDEX('Brown-Universal mapping'!$B:$B,MATCH(AF269,'Brown-Universal mapping'!$A:$A,0))</f>
        <v>ADP</v>
      </c>
      <c r="AJ269" s="9">
        <f t="shared" ref="AJ269:AJ331" si="48">IF(AF269=$D269,1,0)</f>
        <v>1</v>
      </c>
      <c r="AK269" s="9">
        <f t="shared" ref="AK269:AK331" si="49">IF(AI269=$G269,1,0)</f>
        <v>1</v>
      </c>
      <c r="AM269" s="6">
        <f t="shared" si="41"/>
        <v>3</v>
      </c>
      <c r="AN269" s="6">
        <f t="shared" si="42"/>
        <v>3</v>
      </c>
      <c r="AP269" s="6" t="str">
        <f t="shared" si="43"/>
        <v>preposition3</v>
      </c>
    </row>
    <row r="270" spans="1:42" x14ac:dyDescent="0.25">
      <c r="A270" s="29" t="s">
        <v>21</v>
      </c>
      <c r="B270" s="29"/>
      <c r="D270" s="3" t="s">
        <v>22</v>
      </c>
      <c r="E270" s="3" t="str">
        <f>INDEX('Brown tagset'!$B:$B,MATCH(IF(ISERROR(FIND("-",D270)),IF(ISERROR(FIND("+",D270)),D270,LEFT(D270,FIND("+",D270)-1)),LEFT(D270,FIND("-",D270)-1)),'Brown tagset'!$A:$A,0))</f>
        <v>possessive personal pronoun (my, our)</v>
      </c>
      <c r="F270" s="3"/>
      <c r="G270" s="3" t="str">
        <f>INDEX('Brown-Universal mapping'!$B:$B,MATCH(D270,'Brown-Universal mapping'!$A:$A,0))</f>
        <v>DET</v>
      </c>
      <c r="I270" s="5" t="s">
        <v>22</v>
      </c>
      <c r="J270" s="5" t="str">
        <f>INDEX('Brown tagset'!$B:$B,MATCH(IF(ISERROR(FIND("-",I270)),IF(ISERROR(FIND("+",I270)),I270,LEFT(I270,FIND("+",I270)-1)),LEFT(I270,FIND("-",I270)-1)),'Brown tagset'!$A:$A,0))</f>
        <v>possessive personal pronoun (my, our)</v>
      </c>
      <c r="K270" s="5" t="s">
        <v>2</v>
      </c>
      <c r="L270" s="5" t="str">
        <f>INDEX('Brown-Universal mapping'!$B:$B,MATCH(I270,'Brown-Universal mapping'!$A:$A,0))</f>
        <v>DET</v>
      </c>
      <c r="M270" s="5">
        <f t="shared" si="44"/>
        <v>1</v>
      </c>
      <c r="N270" s="5">
        <f t="shared" si="45"/>
        <v>1</v>
      </c>
      <c r="P270" s="12" t="s">
        <v>21</v>
      </c>
      <c r="Q270" s="7" t="s">
        <v>291</v>
      </c>
      <c r="R270" s="7" t="str">
        <f>INDEX('Brown tagset'!$B:$B,MATCH(IF(ISERROR(FIND("-",Q270)),IF(ISERROR(FIND("+",Q270)),Q270,LEFT(Q270,FIND("+",Q270)-1)),LEFT(Q270,FIND("-",Q270)-1)),'Brown tagset'!$A:$A,0))</f>
        <v>possessive personal pronoun (my, our)</v>
      </c>
      <c r="S270" s="7"/>
      <c r="T270" s="7" t="str">
        <f>INDEX('Brown-Universal mapping'!$B:$B,MATCH(Q270,'Brown-Universal mapping'!$A:$A,0))</f>
        <v>DET</v>
      </c>
      <c r="U270" s="7">
        <f t="shared" si="46"/>
        <v>1</v>
      </c>
      <c r="V270" s="7">
        <f t="shared" si="47"/>
        <v>1</v>
      </c>
      <c r="X270" s="12" t="s">
        <v>21</v>
      </c>
      <c r="Y270" s="7" t="s">
        <v>291</v>
      </c>
      <c r="Z270" s="7" t="str">
        <f>INDEX('Brown tagset'!$B:$B,MATCH(IF(ISERROR(FIND("-",Y270)),IF(ISERROR(FIND("+",Y270)),Y270,LEFT(Y270,FIND("+",Y270)-1)),LEFT(Y270,FIND("-",Y270)-1)),'Brown tagset'!$A:$A,0))</f>
        <v>possessive personal pronoun (my, our)</v>
      </c>
      <c r="AA270" s="7"/>
      <c r="AB270" s="7" t="str">
        <f>INDEX('Brown-Universal mapping'!$B:$B,MATCH(Y270,'Brown-Universal mapping'!$A:$A,0))</f>
        <v>DET</v>
      </c>
      <c r="AC270" s="7">
        <f t="shared" si="39"/>
        <v>1</v>
      </c>
      <c r="AD270" s="7">
        <f t="shared" si="40"/>
        <v>1</v>
      </c>
      <c r="AF270" s="9" t="s">
        <v>22</v>
      </c>
      <c r="AG270" s="9" t="str">
        <f>INDEX('Brown tagset'!$B:$B,MATCH(IF(ISERROR(FIND("-",AF270)),IF(ISERROR(FIND("+",AF270)),AF270,LEFT(AF270,FIND("+",AF270)-1)),LEFT(AF270,FIND("-",AF270)-1)),'Brown tagset'!$A:$A,0))</f>
        <v>possessive personal pronoun (my, our)</v>
      </c>
      <c r="AH270" s="9" t="s">
        <v>2</v>
      </c>
      <c r="AI270" s="9" t="str">
        <f>INDEX('Brown-Universal mapping'!$B:$B,MATCH(AF270,'Brown-Universal mapping'!$A:$A,0))</f>
        <v>DET</v>
      </c>
      <c r="AJ270" s="9">
        <f t="shared" si="48"/>
        <v>1</v>
      </c>
      <c r="AK270" s="9">
        <f t="shared" si="49"/>
        <v>1</v>
      </c>
      <c r="AM270" s="6">
        <f t="shared" si="41"/>
        <v>3</v>
      </c>
      <c r="AN270" s="6">
        <f t="shared" si="42"/>
        <v>3</v>
      </c>
      <c r="AP270" s="6" t="str">
        <f t="shared" si="43"/>
        <v>possessive personal pronoun (my, our)3</v>
      </c>
    </row>
    <row r="271" spans="1:42" x14ac:dyDescent="0.25">
      <c r="A271" s="29" t="s">
        <v>228</v>
      </c>
      <c r="B271" s="29"/>
      <c r="D271" s="3" t="s">
        <v>45</v>
      </c>
      <c r="E271" s="3" t="str">
        <f>INDEX('Brown tagset'!$B:$B,MATCH(IF(ISERROR(FIND("-",D271)),IF(ISERROR(FIND("+",D271)),D271,LEFT(D271,FIND("+",D271)-1)),LEFT(D271,FIND("-",D271)-1)),'Brown tagset'!$A:$A,0))</f>
        <v>adjective</v>
      </c>
      <c r="F271" s="3"/>
      <c r="G271" s="3" t="str">
        <f>INDEX('Brown-Universal mapping'!$B:$B,MATCH(D271,'Brown-Universal mapping'!$A:$A,0))</f>
        <v>ADJ</v>
      </c>
      <c r="I271" s="5" t="s">
        <v>45</v>
      </c>
      <c r="J271" s="5" t="str">
        <f>INDEX('Brown tagset'!$B:$B,MATCH(IF(ISERROR(FIND("-",I271)),IF(ISERROR(FIND("+",I271)),I271,LEFT(I271,FIND("+",I271)-1)),LEFT(I271,FIND("-",I271)-1)),'Brown tagset'!$A:$A,0))</f>
        <v>adjective</v>
      </c>
      <c r="K271" s="5" t="s">
        <v>46</v>
      </c>
      <c r="L271" s="5" t="str">
        <f>INDEX('Brown-Universal mapping'!$B:$B,MATCH(I271,'Brown-Universal mapping'!$A:$A,0))</f>
        <v>ADJ</v>
      </c>
      <c r="M271" s="5">
        <f t="shared" si="44"/>
        <v>1</v>
      </c>
      <c r="N271" s="5">
        <f t="shared" si="45"/>
        <v>1</v>
      </c>
      <c r="P271" s="12" t="s">
        <v>228</v>
      </c>
      <c r="Q271" s="7" t="s">
        <v>299</v>
      </c>
      <c r="R271" s="7" t="str">
        <f>INDEX('Brown tagset'!$B:$B,MATCH(IF(ISERROR(FIND("-",Q271)),IF(ISERROR(FIND("+",Q271)),Q271,LEFT(Q271,FIND("+",Q271)-1)),LEFT(Q271,FIND("-",Q271)-1)),'Brown tagset'!$A:$A,0))</f>
        <v>adjective</v>
      </c>
      <c r="S271" s="7"/>
      <c r="T271" s="7" t="str">
        <f>INDEX('Brown-Universal mapping'!$B:$B,MATCH(Q271,'Brown-Universal mapping'!$A:$A,0))</f>
        <v>ADJ</v>
      </c>
      <c r="U271" s="7">
        <f t="shared" si="46"/>
        <v>1</v>
      </c>
      <c r="V271" s="7">
        <f t="shared" si="47"/>
        <v>1</v>
      </c>
      <c r="X271" s="12" t="s">
        <v>228</v>
      </c>
      <c r="Y271" s="7" t="s">
        <v>299</v>
      </c>
      <c r="Z271" s="7" t="str">
        <f>INDEX('Brown tagset'!$B:$B,MATCH(IF(ISERROR(FIND("-",Y271)),IF(ISERROR(FIND("+",Y271)),Y271,LEFT(Y271,FIND("+",Y271)-1)),LEFT(Y271,FIND("-",Y271)-1)),'Brown tagset'!$A:$A,0))</f>
        <v>adjective</v>
      </c>
      <c r="AA271" s="7"/>
      <c r="AB271" s="7" t="str">
        <f>INDEX('Brown-Universal mapping'!$B:$B,MATCH(Y271,'Brown-Universal mapping'!$A:$A,0))</f>
        <v>ADJ</v>
      </c>
      <c r="AC271" s="7">
        <f t="shared" si="39"/>
        <v>1</v>
      </c>
      <c r="AD271" s="7">
        <f t="shared" si="40"/>
        <v>1</v>
      </c>
      <c r="AF271" s="9" t="s">
        <v>45</v>
      </c>
      <c r="AG271" s="9" t="str">
        <f>INDEX('Brown tagset'!$B:$B,MATCH(IF(ISERROR(FIND("-",AF271)),IF(ISERROR(FIND("+",AF271)),AF271,LEFT(AF271,FIND("+",AF271)-1)),LEFT(AF271,FIND("-",AF271)-1)),'Brown tagset'!$A:$A,0))</f>
        <v>adjective</v>
      </c>
      <c r="AH271" s="9" t="s">
        <v>46</v>
      </c>
      <c r="AI271" s="9" t="str">
        <f>INDEX('Brown-Universal mapping'!$B:$B,MATCH(AF271,'Brown-Universal mapping'!$A:$A,0))</f>
        <v>ADJ</v>
      </c>
      <c r="AJ271" s="9">
        <f t="shared" si="48"/>
        <v>1</v>
      </c>
      <c r="AK271" s="9">
        <f t="shared" si="49"/>
        <v>1</v>
      </c>
      <c r="AM271" s="6">
        <f t="shared" si="41"/>
        <v>3</v>
      </c>
      <c r="AN271" s="6">
        <f t="shared" si="42"/>
        <v>3</v>
      </c>
      <c r="AP271" s="6" t="str">
        <f t="shared" si="43"/>
        <v>adjective3</v>
      </c>
    </row>
    <row r="272" spans="1:42" x14ac:dyDescent="0.25">
      <c r="A272" s="28" t="s">
        <v>177</v>
      </c>
      <c r="B272" s="28"/>
      <c r="D272" s="3" t="s">
        <v>229</v>
      </c>
      <c r="E272" s="3" t="str">
        <f>INDEX('Brown tagset'!$B:$B,MATCH(IF(ISERROR(FIND("-",D272)),IF(ISERROR(FIND("+",D272)),D272,LEFT(D272,FIND("+",D272)-1)),LEFT(D272,FIND("-",D272)-1)),'Brown tagset'!$A:$A,0))</f>
        <v>proper noun or part of name phrase</v>
      </c>
      <c r="F272" s="3"/>
      <c r="G272" s="3" t="str">
        <f>INDEX('Brown-Universal mapping'!$B:$B,MATCH(D272,'Brown-Universal mapping'!$A:$A,0))</f>
        <v>NOUN</v>
      </c>
      <c r="I272" s="5" t="s">
        <v>66</v>
      </c>
      <c r="J272" s="5" t="str">
        <f>INDEX('Brown tagset'!$B:$B,MATCH(IF(ISERROR(FIND("-",I272)),IF(ISERROR(FIND("+",I272)),I272,LEFT(I272,FIND("+",I272)-1)),LEFT(I272,FIND("-",I272)-1)),'Brown tagset'!$A:$A,0))</f>
        <v>proper noun or part of name phrase</v>
      </c>
      <c r="K272" s="5" t="s">
        <v>13</v>
      </c>
      <c r="L272" s="5" t="str">
        <f>INDEX('Brown-Universal mapping'!$B:$B,MATCH(I272,'Brown-Universal mapping'!$A:$A,0))</f>
        <v>NOUN</v>
      </c>
      <c r="M272" s="5">
        <f t="shared" si="44"/>
        <v>0</v>
      </c>
      <c r="N272" s="5">
        <f t="shared" si="45"/>
        <v>1</v>
      </c>
      <c r="P272" s="12" t="s">
        <v>177</v>
      </c>
      <c r="Q272" s="7" t="s">
        <v>302</v>
      </c>
      <c r="R272" s="7" t="str">
        <f>INDEX('Brown tagset'!$B:$B,MATCH(IF(ISERROR(FIND("-",Q272)),IF(ISERROR(FIND("+",Q272)),Q272,LEFT(Q272,FIND("+",Q272)-1)),LEFT(Q272,FIND("-",Q272)-1)),'Brown tagset'!$A:$A,0))</f>
        <v>proper noun or part of name phrase</v>
      </c>
      <c r="S272" s="7"/>
      <c r="T272" s="7" t="str">
        <f>INDEX('Brown-Universal mapping'!$B:$B,MATCH(Q272,'Brown-Universal mapping'!$A:$A,0))</f>
        <v>NOUN</v>
      </c>
      <c r="U272" s="7">
        <f t="shared" si="46"/>
        <v>1</v>
      </c>
      <c r="V272" s="7">
        <f t="shared" si="47"/>
        <v>1</v>
      </c>
      <c r="X272" s="12" t="s">
        <v>177</v>
      </c>
      <c r="Y272" s="7" t="s">
        <v>287</v>
      </c>
      <c r="Z272" s="7" t="str">
        <f>INDEX('Brown tagset'!$B:$B,MATCH(IF(ISERROR(FIND("-",Y272)),IF(ISERROR(FIND("+",Y272)),Y272,LEFT(Y272,FIND("+",Y272)-1)),LEFT(Y272,FIND("-",Y272)-1)),'Brown tagset'!$A:$A,0))</f>
        <v>proper noun or part of name phrase</v>
      </c>
      <c r="AA272" s="7"/>
      <c r="AB272" s="7" t="str">
        <f>INDEX('Brown-Universal mapping'!$B:$B,MATCH(Y272,'Brown-Universal mapping'!$A:$A,0))</f>
        <v>NOUN</v>
      </c>
      <c r="AC272" s="7">
        <f t="shared" si="39"/>
        <v>0</v>
      </c>
      <c r="AD272" s="7">
        <f t="shared" si="40"/>
        <v>1</v>
      </c>
      <c r="AF272" s="9" t="s">
        <v>340</v>
      </c>
      <c r="AG272" s="9" t="str">
        <f>INDEX('Brown tagset'!$B:$B,MATCH(IF(ISERROR(FIND("-",AF272)),IF(ISERROR(FIND("+",AF272)),AF272,LEFT(AF272,FIND("+",AF272)-1)),LEFT(AF272,FIND("-",AF272)-1)),'Brown tagset'!$A:$A,0))</f>
        <v>unknown</v>
      </c>
      <c r="AH272" s="9" t="s">
        <v>2</v>
      </c>
      <c r="AI272" s="9" t="str">
        <f>INDEX('Brown-Universal mapping'!$B:$B,MATCH(AF272,'Brown-Universal mapping'!$A:$A,0))</f>
        <v>Unknown</v>
      </c>
      <c r="AJ272" s="9">
        <f t="shared" si="48"/>
        <v>0</v>
      </c>
      <c r="AK272" s="9">
        <f t="shared" si="49"/>
        <v>0</v>
      </c>
      <c r="AM272" s="6">
        <f t="shared" si="41"/>
        <v>0</v>
      </c>
      <c r="AN272" s="6">
        <f t="shared" si="42"/>
        <v>2</v>
      </c>
      <c r="AP272" s="6" t="str">
        <f t="shared" si="43"/>
        <v>unknown0</v>
      </c>
    </row>
    <row r="273" spans="1:42" x14ac:dyDescent="0.25">
      <c r="A273" s="4" t="s">
        <v>230</v>
      </c>
      <c r="D273" s="3" t="s">
        <v>181</v>
      </c>
      <c r="E273" s="3" t="str">
        <f>INDEX('Brown tagset'!$B:$B,MATCH(IF(ISERROR(FIND("-",D273)),IF(ISERROR(FIND("+",D273)),D273,LEFT(D273,FIND("+",D273)-1)),LEFT(D273,FIND("-",D273)-1)),'Brown tagset'!$A:$A,0))</f>
        <v>singular or mass noun</v>
      </c>
      <c r="F273" s="3"/>
      <c r="G273" s="3" t="str">
        <f>INDEX('Brown-Universal mapping'!$B:$B,MATCH(D273,'Brown-Universal mapping'!$A:$A,0))</f>
        <v>NOUN</v>
      </c>
      <c r="I273" s="5" t="s">
        <v>66</v>
      </c>
      <c r="J273" s="5" t="str">
        <f>INDEX('Brown tagset'!$B:$B,MATCH(IF(ISERROR(FIND("-",I273)),IF(ISERROR(FIND("+",I273)),I273,LEFT(I273,FIND("+",I273)-1)),LEFT(I273,FIND("-",I273)-1)),'Brown tagset'!$A:$A,0))</f>
        <v>proper noun or part of name phrase</v>
      </c>
      <c r="K273" s="5" t="s">
        <v>13</v>
      </c>
      <c r="L273" s="5" t="str">
        <f>INDEX('Brown-Universal mapping'!$B:$B,MATCH(I273,'Brown-Universal mapping'!$A:$A,0))</f>
        <v>NOUN</v>
      </c>
      <c r="M273" s="5">
        <f t="shared" si="44"/>
        <v>0</v>
      </c>
      <c r="N273" s="5">
        <f t="shared" si="45"/>
        <v>1</v>
      </c>
      <c r="P273" s="12" t="s">
        <v>230</v>
      </c>
      <c r="Q273" s="7" t="s">
        <v>325</v>
      </c>
      <c r="R273" s="7" t="str">
        <f>INDEX('Brown tagset'!$B:$B,MATCH(IF(ISERROR(FIND("-",Q273)),IF(ISERROR(FIND("+",Q273)),Q273,LEFT(Q273,FIND("+",Q273)-1)),LEFT(Q273,FIND("-",Q273)-1)),'Brown tagset'!$A:$A,0))</f>
        <v>singular or mass noun</v>
      </c>
      <c r="S273" s="7"/>
      <c r="T273" s="7" t="str">
        <f>INDEX('Brown-Universal mapping'!$B:$B,MATCH(Q273,'Brown-Universal mapping'!$A:$A,0))</f>
        <v>NOUN</v>
      </c>
      <c r="U273" s="7">
        <f t="shared" si="46"/>
        <v>1</v>
      </c>
      <c r="V273" s="7">
        <f t="shared" si="47"/>
        <v>1</v>
      </c>
      <c r="X273" s="12" t="s">
        <v>230</v>
      </c>
      <c r="Y273" s="7" t="s">
        <v>325</v>
      </c>
      <c r="Z273" s="7" t="str">
        <f>INDEX('Brown tagset'!$B:$B,MATCH(IF(ISERROR(FIND("-",Y273)),IF(ISERROR(FIND("+",Y273)),Y273,LEFT(Y273,FIND("+",Y273)-1)),LEFT(Y273,FIND("-",Y273)-1)),'Brown tagset'!$A:$A,0))</f>
        <v>singular or mass noun</v>
      </c>
      <c r="AA273" s="7"/>
      <c r="AB273" s="7" t="str">
        <f>INDEX('Brown-Universal mapping'!$B:$B,MATCH(Y273,'Brown-Universal mapping'!$A:$A,0))</f>
        <v>NOUN</v>
      </c>
      <c r="AC273" s="7">
        <f t="shared" si="39"/>
        <v>1</v>
      </c>
      <c r="AD273" s="7">
        <f t="shared" si="40"/>
        <v>1</v>
      </c>
      <c r="AF273" s="9" t="s">
        <v>181</v>
      </c>
      <c r="AG273" s="9" t="str">
        <f>INDEX('Brown tagset'!$B:$B,MATCH(IF(ISERROR(FIND("-",AF273)),IF(ISERROR(FIND("+",AF273)),AF273,LEFT(AF273,FIND("+",AF273)-1)),LEFT(AF273,FIND("-",AF273)-1)),'Brown tagset'!$A:$A,0))</f>
        <v>singular or mass noun</v>
      </c>
      <c r="AH273" s="9" t="s">
        <v>2</v>
      </c>
      <c r="AI273" s="9" t="str">
        <f>INDEX('Brown-Universal mapping'!$B:$B,MATCH(AF273,'Brown-Universal mapping'!$A:$A,0))</f>
        <v>NOUN</v>
      </c>
      <c r="AJ273" s="9">
        <f t="shared" si="48"/>
        <v>1</v>
      </c>
      <c r="AK273" s="9">
        <f t="shared" si="49"/>
        <v>1</v>
      </c>
      <c r="AM273" s="6">
        <f t="shared" si="41"/>
        <v>2</v>
      </c>
      <c r="AN273" s="6">
        <f t="shared" si="42"/>
        <v>3</v>
      </c>
      <c r="AP273" s="6" t="str">
        <f t="shared" si="43"/>
        <v>singular or mass noun2</v>
      </c>
    </row>
    <row r="274" spans="1:42" x14ac:dyDescent="0.25">
      <c r="A274" s="4" t="s">
        <v>231</v>
      </c>
      <c r="D274" s="3" t="s">
        <v>181</v>
      </c>
      <c r="E274" s="3" t="str">
        <f>INDEX('Brown tagset'!$B:$B,MATCH(IF(ISERROR(FIND("-",D274)),IF(ISERROR(FIND("+",D274)),D274,LEFT(D274,FIND("+",D274)-1)),LEFT(D274,FIND("-",D274)-1)),'Brown tagset'!$A:$A,0))</f>
        <v>singular or mass noun</v>
      </c>
      <c r="F274" s="3"/>
      <c r="G274" s="3" t="str">
        <f>INDEX('Brown-Universal mapping'!$B:$B,MATCH(D274,'Brown-Universal mapping'!$A:$A,0))</f>
        <v>NOUN</v>
      </c>
      <c r="I274" s="5" t="s">
        <v>181</v>
      </c>
      <c r="J274" s="5" t="str">
        <f>INDEX('Brown tagset'!$B:$B,MATCH(IF(ISERROR(FIND("-",I274)),IF(ISERROR(FIND("+",I274)),I274,LEFT(I274,FIND("+",I274)-1)),LEFT(I274,FIND("-",I274)-1)),'Brown tagset'!$A:$A,0))</f>
        <v>singular or mass noun</v>
      </c>
      <c r="K274" s="5" t="s">
        <v>2</v>
      </c>
      <c r="L274" s="5" t="str">
        <f>INDEX('Brown-Universal mapping'!$B:$B,MATCH(I274,'Brown-Universal mapping'!$A:$A,0))</f>
        <v>NOUN</v>
      </c>
      <c r="M274" s="5">
        <f t="shared" si="44"/>
        <v>1</v>
      </c>
      <c r="N274" s="5">
        <f t="shared" si="45"/>
        <v>1</v>
      </c>
      <c r="P274" s="12" t="s">
        <v>231</v>
      </c>
      <c r="Q274" s="7" t="s">
        <v>325</v>
      </c>
      <c r="R274" s="7" t="str">
        <f>INDEX('Brown tagset'!$B:$B,MATCH(IF(ISERROR(FIND("-",Q274)),IF(ISERROR(FIND("+",Q274)),Q274,LEFT(Q274,FIND("+",Q274)-1)),LEFT(Q274,FIND("-",Q274)-1)),'Brown tagset'!$A:$A,0))</f>
        <v>singular or mass noun</v>
      </c>
      <c r="S274" s="7"/>
      <c r="T274" s="7" t="str">
        <f>INDEX('Brown-Universal mapping'!$B:$B,MATCH(Q274,'Brown-Universal mapping'!$A:$A,0))</f>
        <v>NOUN</v>
      </c>
      <c r="U274" s="7">
        <f t="shared" si="46"/>
        <v>1</v>
      </c>
      <c r="V274" s="7">
        <f t="shared" si="47"/>
        <v>1</v>
      </c>
      <c r="X274" s="12" t="s">
        <v>231</v>
      </c>
      <c r="Y274" s="7" t="s">
        <v>325</v>
      </c>
      <c r="Z274" s="7" t="str">
        <f>INDEX('Brown tagset'!$B:$B,MATCH(IF(ISERROR(FIND("-",Y274)),IF(ISERROR(FIND("+",Y274)),Y274,LEFT(Y274,FIND("+",Y274)-1)),LEFT(Y274,FIND("-",Y274)-1)),'Brown tagset'!$A:$A,0))</f>
        <v>singular or mass noun</v>
      </c>
      <c r="AA274" s="7"/>
      <c r="AB274" s="7" t="str">
        <f>INDEX('Brown-Universal mapping'!$B:$B,MATCH(Y274,'Brown-Universal mapping'!$A:$A,0))</f>
        <v>NOUN</v>
      </c>
      <c r="AC274" s="7">
        <f t="shared" si="39"/>
        <v>1</v>
      </c>
      <c r="AD274" s="7">
        <f t="shared" si="40"/>
        <v>1</v>
      </c>
      <c r="AF274" s="9" t="s">
        <v>181</v>
      </c>
      <c r="AG274" s="9" t="str">
        <f>INDEX('Brown tagset'!$B:$B,MATCH(IF(ISERROR(FIND("-",AF274)),IF(ISERROR(FIND("+",AF274)),AF274,LEFT(AF274,FIND("+",AF274)-1)),LEFT(AF274,FIND("-",AF274)-1)),'Brown tagset'!$A:$A,0))</f>
        <v>singular or mass noun</v>
      </c>
      <c r="AH274" s="9" t="s">
        <v>2</v>
      </c>
      <c r="AI274" s="9" t="str">
        <f>INDEX('Brown-Universal mapping'!$B:$B,MATCH(AF274,'Brown-Universal mapping'!$A:$A,0))</f>
        <v>NOUN</v>
      </c>
      <c r="AJ274" s="9">
        <f t="shared" si="48"/>
        <v>1</v>
      </c>
      <c r="AK274" s="9">
        <f t="shared" si="49"/>
        <v>1</v>
      </c>
      <c r="AM274" s="6">
        <f t="shared" si="41"/>
        <v>3</v>
      </c>
      <c r="AN274" s="6">
        <f t="shared" si="42"/>
        <v>3</v>
      </c>
      <c r="AP274" s="6" t="str">
        <f t="shared" si="43"/>
        <v>singular or mass noun3</v>
      </c>
    </row>
    <row r="275" spans="1:42" x14ac:dyDescent="0.25">
      <c r="A275" s="4" t="s">
        <v>82</v>
      </c>
      <c r="D275" s="3" t="s">
        <v>83</v>
      </c>
      <c r="E275" s="3" t="str">
        <f>INDEX('Brown tagset'!$B:$B,MATCH(IF(ISERROR(FIND("-",D275)),IF(ISERROR(FIND("+",D275)),D275,LEFT(D275,FIND("+",D275)-1)),LEFT(D275,FIND("-",D275)-1)),'Brown tagset'!$A:$A,0))</f>
        <v>wh- determiner (what, which)</v>
      </c>
      <c r="F275" s="3"/>
      <c r="G275" s="3" t="str">
        <f>INDEX('Brown-Universal mapping'!$B:$B,MATCH(D275,'Brown-Universal mapping'!$A:$A,0))</f>
        <v>DET</v>
      </c>
      <c r="I275" s="5" t="s">
        <v>83</v>
      </c>
      <c r="J275" s="5" t="str">
        <f>INDEX('Brown tagset'!$B:$B,MATCH(IF(ISERROR(FIND("-",I275)),IF(ISERROR(FIND("+",I275)),I275,LEFT(I275,FIND("+",I275)-1)),LEFT(I275,FIND("-",I275)-1)),'Brown tagset'!$A:$A,0))</f>
        <v>wh- determiner (what, which)</v>
      </c>
      <c r="K275" s="5" t="s">
        <v>84</v>
      </c>
      <c r="L275" s="5" t="str">
        <f>INDEX('Brown-Universal mapping'!$B:$B,MATCH(I275,'Brown-Universal mapping'!$A:$A,0))</f>
        <v>DET</v>
      </c>
      <c r="M275" s="5">
        <f t="shared" si="44"/>
        <v>1</v>
      </c>
      <c r="N275" s="5">
        <f t="shared" si="45"/>
        <v>1</v>
      </c>
      <c r="P275" s="12" t="s">
        <v>82</v>
      </c>
      <c r="Q275" s="7" t="s">
        <v>306</v>
      </c>
      <c r="R275" s="7" t="str">
        <f>INDEX('Brown tagset'!$B:$B,MATCH(IF(ISERROR(FIND("-",Q275)),IF(ISERROR(FIND("+",Q275)),Q275,LEFT(Q275,FIND("+",Q275)-1)),LEFT(Q275,FIND("-",Q275)-1)),'Brown tagset'!$A:$A,0))</f>
        <v>wh- determiner (what, which)</v>
      </c>
      <c r="S275" s="7"/>
      <c r="T275" s="7" t="str">
        <f>INDEX('Brown-Universal mapping'!$B:$B,MATCH(Q275,'Brown-Universal mapping'!$A:$A,0))</f>
        <v>DET</v>
      </c>
      <c r="U275" s="7">
        <f t="shared" si="46"/>
        <v>1</v>
      </c>
      <c r="V275" s="7">
        <f t="shared" si="47"/>
        <v>1</v>
      </c>
      <c r="X275" s="12" t="s">
        <v>82</v>
      </c>
      <c r="Y275" s="7" t="s">
        <v>306</v>
      </c>
      <c r="Z275" s="7" t="str">
        <f>INDEX('Brown tagset'!$B:$B,MATCH(IF(ISERROR(FIND("-",Y275)),IF(ISERROR(FIND("+",Y275)),Y275,LEFT(Y275,FIND("+",Y275)-1)),LEFT(Y275,FIND("-",Y275)-1)),'Brown tagset'!$A:$A,0))</f>
        <v>wh- determiner (what, which)</v>
      </c>
      <c r="AA275" s="7"/>
      <c r="AB275" s="7" t="str">
        <f>INDEX('Brown-Universal mapping'!$B:$B,MATCH(Y275,'Brown-Universal mapping'!$A:$A,0))</f>
        <v>DET</v>
      </c>
      <c r="AC275" s="7">
        <f t="shared" si="39"/>
        <v>1</v>
      </c>
      <c r="AD275" s="7">
        <f t="shared" si="40"/>
        <v>1</v>
      </c>
      <c r="AF275" s="9" t="s">
        <v>83</v>
      </c>
      <c r="AG275" s="9" t="str">
        <f>INDEX('Brown tagset'!$B:$B,MATCH(IF(ISERROR(FIND("-",AF275)),IF(ISERROR(FIND("+",AF275)),AF275,LEFT(AF275,FIND("+",AF275)-1)),LEFT(AF275,FIND("-",AF275)-1)),'Brown tagset'!$A:$A,0))</f>
        <v>wh- determiner (what, which)</v>
      </c>
      <c r="AH275" s="9" t="s">
        <v>84</v>
      </c>
      <c r="AI275" s="9" t="str">
        <f>INDEX('Brown-Universal mapping'!$B:$B,MATCH(AF275,'Brown-Universal mapping'!$A:$A,0))</f>
        <v>DET</v>
      </c>
      <c r="AJ275" s="9">
        <f t="shared" si="48"/>
        <v>1</v>
      </c>
      <c r="AK275" s="9">
        <f t="shared" si="49"/>
        <v>1</v>
      </c>
      <c r="AM275" s="6">
        <f t="shared" si="41"/>
        <v>3</v>
      </c>
      <c r="AN275" s="6">
        <f t="shared" si="42"/>
        <v>3</v>
      </c>
      <c r="AP275" s="6" t="str">
        <f t="shared" si="43"/>
        <v>wh- determiner (what, which)3</v>
      </c>
    </row>
    <row r="276" spans="1:42" x14ac:dyDescent="0.25">
      <c r="A276" s="4" t="s">
        <v>145</v>
      </c>
      <c r="D276" s="3" t="s">
        <v>146</v>
      </c>
      <c r="E276" s="3" t="str">
        <f>INDEX('Brown tagset'!$B:$B,MATCH(IF(ISERROR(FIND("-",D276)),IF(ISERROR(FIND("+",D276)),D276,LEFT(D276,FIND("+",D276)-1)),LEFT(D276,FIND("-",D276)-1)),'Brown tagset'!$A:$A,0))</f>
        <v>is</v>
      </c>
      <c r="F276" s="3"/>
      <c r="G276" s="3" t="str">
        <f>INDEX('Brown-Universal mapping'!$B:$B,MATCH(D276,'Brown-Universal mapping'!$A:$A,0))</f>
        <v>VERB</v>
      </c>
      <c r="I276" s="5" t="s">
        <v>146</v>
      </c>
      <c r="J276" s="5" t="str">
        <f>INDEX('Brown tagset'!$B:$B,MATCH(IF(ISERROR(FIND("-",I276)),IF(ISERROR(FIND("+",I276)),I276,LEFT(I276,FIND("+",I276)-1)),LEFT(I276,FIND("-",I276)-1)),'Brown tagset'!$A:$A,0))</f>
        <v>is</v>
      </c>
      <c r="K276" s="5" t="s">
        <v>2</v>
      </c>
      <c r="L276" s="5" t="str">
        <f>INDEX('Brown-Universal mapping'!$B:$B,MATCH(I276,'Brown-Universal mapping'!$A:$A,0))</f>
        <v>VERB</v>
      </c>
      <c r="M276" s="5">
        <f t="shared" si="44"/>
        <v>1</v>
      </c>
      <c r="N276" s="5">
        <f t="shared" si="45"/>
        <v>1</v>
      </c>
      <c r="P276" s="12" t="s">
        <v>145</v>
      </c>
      <c r="Q276" s="7" t="s">
        <v>321</v>
      </c>
      <c r="R276" s="7" t="str">
        <f>INDEX('Brown tagset'!$B:$B,MATCH(IF(ISERROR(FIND("-",Q276)),IF(ISERROR(FIND("+",Q276)),Q276,LEFT(Q276,FIND("+",Q276)-1)),LEFT(Q276,FIND("-",Q276)-1)),'Brown tagset'!$A:$A,0))</f>
        <v>is</v>
      </c>
      <c r="S276" s="7"/>
      <c r="T276" s="7" t="str">
        <f>INDEX('Brown-Universal mapping'!$B:$B,MATCH(Q276,'Brown-Universal mapping'!$A:$A,0))</f>
        <v>VERB</v>
      </c>
      <c r="U276" s="7">
        <f t="shared" si="46"/>
        <v>1</v>
      </c>
      <c r="V276" s="7">
        <f t="shared" si="47"/>
        <v>1</v>
      </c>
      <c r="X276" s="12" t="s">
        <v>145</v>
      </c>
      <c r="Y276" s="7" t="s">
        <v>321</v>
      </c>
      <c r="Z276" s="7" t="str">
        <f>INDEX('Brown tagset'!$B:$B,MATCH(IF(ISERROR(FIND("-",Y276)),IF(ISERROR(FIND("+",Y276)),Y276,LEFT(Y276,FIND("+",Y276)-1)),LEFT(Y276,FIND("-",Y276)-1)),'Brown tagset'!$A:$A,0))</f>
        <v>is</v>
      </c>
      <c r="AA276" s="7"/>
      <c r="AB276" s="7" t="str">
        <f>INDEX('Brown-Universal mapping'!$B:$B,MATCH(Y276,'Brown-Universal mapping'!$A:$A,0))</f>
        <v>VERB</v>
      </c>
      <c r="AC276" s="7">
        <f t="shared" si="39"/>
        <v>1</v>
      </c>
      <c r="AD276" s="7">
        <f t="shared" si="40"/>
        <v>1</v>
      </c>
      <c r="AF276" s="9" t="s">
        <v>146</v>
      </c>
      <c r="AG276" s="9" t="str">
        <f>INDEX('Brown tagset'!$B:$B,MATCH(IF(ISERROR(FIND("-",AF276)),IF(ISERROR(FIND("+",AF276)),AF276,LEFT(AF276,FIND("+",AF276)-1)),LEFT(AF276,FIND("-",AF276)-1)),'Brown tagset'!$A:$A,0))</f>
        <v>is</v>
      </c>
      <c r="AH276" s="9" t="s">
        <v>2</v>
      </c>
      <c r="AI276" s="9" t="str">
        <f>INDEX('Brown-Universal mapping'!$B:$B,MATCH(AF276,'Brown-Universal mapping'!$A:$A,0))</f>
        <v>VERB</v>
      </c>
      <c r="AJ276" s="9">
        <f t="shared" si="48"/>
        <v>1</v>
      </c>
      <c r="AK276" s="9">
        <f t="shared" si="49"/>
        <v>1</v>
      </c>
      <c r="AM276" s="6">
        <f t="shared" si="41"/>
        <v>3</v>
      </c>
      <c r="AN276" s="6">
        <f t="shared" si="42"/>
        <v>3</v>
      </c>
      <c r="AP276" s="6" t="str">
        <f t="shared" si="43"/>
        <v>is3</v>
      </c>
    </row>
    <row r="277" spans="1:42" x14ac:dyDescent="0.25">
      <c r="A277" s="4" t="s">
        <v>232</v>
      </c>
      <c r="D277" s="3" t="s">
        <v>127</v>
      </c>
      <c r="E277" s="3" t="str">
        <f>INDEX('Brown tagset'!$B:$B,MATCH(IF(ISERROR(FIND("-",D277)),IF(ISERROR(FIND("+",D277)),D277,LEFT(D277,FIND("+",D277)-1)),LEFT(D277,FIND("-",D277)-1)),'Brown tagset'!$A:$A,0))</f>
        <v>verb, past participle</v>
      </c>
      <c r="F277" s="3"/>
      <c r="G277" s="3" t="str">
        <f>INDEX('Brown-Universal mapping'!$B:$B,MATCH(D277,'Brown-Universal mapping'!$A:$A,0))</f>
        <v>VERB</v>
      </c>
      <c r="I277" s="5" t="s">
        <v>127</v>
      </c>
      <c r="J277" s="5" t="str">
        <f>INDEX('Brown tagset'!$B:$B,MATCH(IF(ISERROR(FIND("-",I277)),IF(ISERROR(FIND("+",I277)),I277,LEFT(I277,FIND("+",I277)-1)),LEFT(I277,FIND("-",I277)-1)),'Brown tagset'!$A:$A,0))</f>
        <v>verb, past participle</v>
      </c>
      <c r="K277" s="5" t="s">
        <v>10</v>
      </c>
      <c r="L277" s="5" t="str">
        <f>INDEX('Brown-Universal mapping'!$B:$B,MATCH(I277,'Brown-Universal mapping'!$A:$A,0))</f>
        <v>VERB</v>
      </c>
      <c r="M277" s="5">
        <f t="shared" si="44"/>
        <v>1</v>
      </c>
      <c r="N277" s="5">
        <f t="shared" si="45"/>
        <v>1</v>
      </c>
      <c r="P277" s="12" t="s">
        <v>232</v>
      </c>
      <c r="Q277" s="7" t="s">
        <v>328</v>
      </c>
      <c r="R277" s="7" t="str">
        <f>INDEX('Brown tagset'!$B:$B,MATCH(IF(ISERROR(FIND("-",Q277)),IF(ISERROR(FIND("+",Q277)),Q277,LEFT(Q277,FIND("+",Q277)-1)),LEFT(Q277,FIND("-",Q277)-1)),'Brown tagset'!$A:$A,0))</f>
        <v>verb, past participle</v>
      </c>
      <c r="S277" s="7"/>
      <c r="T277" s="7" t="str">
        <f>INDEX('Brown-Universal mapping'!$B:$B,MATCH(Q277,'Brown-Universal mapping'!$A:$A,0))</f>
        <v>VERB</v>
      </c>
      <c r="U277" s="7">
        <f t="shared" si="46"/>
        <v>1</v>
      </c>
      <c r="V277" s="7">
        <f t="shared" si="47"/>
        <v>1</v>
      </c>
      <c r="X277" s="12" t="s">
        <v>232</v>
      </c>
      <c r="Y277" s="7" t="s">
        <v>328</v>
      </c>
      <c r="Z277" s="7" t="str">
        <f>INDEX('Brown tagset'!$B:$B,MATCH(IF(ISERROR(FIND("-",Y277)),IF(ISERROR(FIND("+",Y277)),Y277,LEFT(Y277,FIND("+",Y277)-1)),LEFT(Y277,FIND("-",Y277)-1)),'Brown tagset'!$A:$A,0))</f>
        <v>verb, past participle</v>
      </c>
      <c r="AA277" s="7"/>
      <c r="AB277" s="7" t="str">
        <f>INDEX('Brown-Universal mapping'!$B:$B,MATCH(Y277,'Brown-Universal mapping'!$A:$A,0))</f>
        <v>VERB</v>
      </c>
      <c r="AC277" s="7">
        <f t="shared" ref="AC277:AC340" si="50">IF(Y277=$D277,1,0)</f>
        <v>1</v>
      </c>
      <c r="AD277" s="7">
        <f t="shared" ref="AD277:AD340" si="51">IF(AB277=$G277,1,0)</f>
        <v>1</v>
      </c>
      <c r="AF277" s="9" t="s">
        <v>127</v>
      </c>
      <c r="AG277" s="9" t="str">
        <f>INDEX('Brown tagset'!$B:$B,MATCH(IF(ISERROR(FIND("-",AF277)),IF(ISERROR(FIND("+",AF277)),AF277,LEFT(AF277,FIND("+",AF277)-1)),LEFT(AF277,FIND("-",AF277)-1)),'Brown tagset'!$A:$A,0))</f>
        <v>verb, past participle</v>
      </c>
      <c r="AH277" s="9" t="s">
        <v>10</v>
      </c>
      <c r="AI277" s="9" t="str">
        <f>INDEX('Brown-Universal mapping'!$B:$B,MATCH(AF277,'Brown-Universal mapping'!$A:$A,0))</f>
        <v>VERB</v>
      </c>
      <c r="AJ277" s="9">
        <f t="shared" si="48"/>
        <v>1</v>
      </c>
      <c r="AK277" s="9">
        <f t="shared" si="49"/>
        <v>1</v>
      </c>
      <c r="AM277" s="6">
        <f t="shared" ref="AM277:AM340" si="52">M277+AC277+AJ277</f>
        <v>3</v>
      </c>
      <c r="AN277" s="6">
        <f t="shared" ref="AN277:AN340" si="53">N277+AD277+AK277</f>
        <v>3</v>
      </c>
      <c r="AP277" s="6" t="str">
        <f t="shared" ref="AP277:AP340" si="54">AG277&amp;AM277</f>
        <v>verb, past participle3</v>
      </c>
    </row>
    <row r="278" spans="1:42" x14ac:dyDescent="0.25">
      <c r="A278" s="4" t="s">
        <v>89</v>
      </c>
      <c r="D278" s="3" t="s">
        <v>59</v>
      </c>
      <c r="E278" s="3" t="str">
        <f>INDEX('Brown tagset'!$B:$B,MATCH(IF(ISERROR(FIND("-",D278)),IF(ISERROR(FIND("+",D278)),D278,LEFT(D278,FIND("+",D278)-1)),LEFT(D278,FIND("-",D278)-1)),'Brown tagset'!$A:$A,0))</f>
        <v>preposition</v>
      </c>
      <c r="F278" s="3"/>
      <c r="G278" s="3" t="str">
        <f>INDEX('Brown-Universal mapping'!$B:$B,MATCH(D278,'Brown-Universal mapping'!$A:$A,0))</f>
        <v>ADP</v>
      </c>
      <c r="I278" s="5" t="s">
        <v>59</v>
      </c>
      <c r="J278" s="5" t="str">
        <f>INDEX('Brown tagset'!$B:$B,MATCH(IF(ISERROR(FIND("-",I278)),IF(ISERROR(FIND("+",I278)),I278,LEFT(I278,FIND("+",I278)-1)),LEFT(I278,FIND("-",I278)-1)),'Brown tagset'!$A:$A,0))</f>
        <v>preposition</v>
      </c>
      <c r="K278" s="5" t="s">
        <v>60</v>
      </c>
      <c r="L278" s="5" t="str">
        <f>INDEX('Brown-Universal mapping'!$B:$B,MATCH(I278,'Brown-Universal mapping'!$A:$A,0))</f>
        <v>ADP</v>
      </c>
      <c r="M278" s="5">
        <f t="shared" si="44"/>
        <v>1</v>
      </c>
      <c r="N278" s="5">
        <f t="shared" si="45"/>
        <v>1</v>
      </c>
      <c r="P278" s="12" t="s">
        <v>89</v>
      </c>
      <c r="Q278" s="7" t="s">
        <v>124</v>
      </c>
      <c r="R278" s="7" t="str">
        <f>INDEX('Brown tagset'!$B:$B,MATCH(IF(ISERROR(FIND("-",Q278)),IF(ISERROR(FIND("+",Q278)),Q278,LEFT(Q278,FIND("+",Q278)-1)),LEFT(Q278,FIND("-",Q278)-1)),'Brown tagset'!$A:$A,0))</f>
        <v>preposition</v>
      </c>
      <c r="S278" s="7"/>
      <c r="T278" s="7" t="str">
        <f>INDEX('Brown-Universal mapping'!$B:$B,MATCH(Q278,'Brown-Universal mapping'!$A:$A,0))</f>
        <v>ADP</v>
      </c>
      <c r="U278" s="7">
        <f t="shared" si="46"/>
        <v>1</v>
      </c>
      <c r="V278" s="7">
        <f t="shared" si="47"/>
        <v>1</v>
      </c>
      <c r="X278" s="12" t="s">
        <v>89</v>
      </c>
      <c r="Y278" s="7" t="s">
        <v>124</v>
      </c>
      <c r="Z278" s="7" t="str">
        <f>INDEX('Brown tagset'!$B:$B,MATCH(IF(ISERROR(FIND("-",Y278)),IF(ISERROR(FIND("+",Y278)),Y278,LEFT(Y278,FIND("+",Y278)-1)),LEFT(Y278,FIND("-",Y278)-1)),'Brown tagset'!$A:$A,0))</f>
        <v>preposition</v>
      </c>
      <c r="AA278" s="7"/>
      <c r="AB278" s="7" t="str">
        <f>INDEX('Brown-Universal mapping'!$B:$B,MATCH(Y278,'Brown-Universal mapping'!$A:$A,0))</f>
        <v>ADP</v>
      </c>
      <c r="AC278" s="7">
        <f t="shared" si="50"/>
        <v>1</v>
      </c>
      <c r="AD278" s="7">
        <f t="shared" si="51"/>
        <v>1</v>
      </c>
      <c r="AF278" s="9" t="s">
        <v>59</v>
      </c>
      <c r="AG278" s="9" t="str">
        <f>INDEX('Brown tagset'!$B:$B,MATCH(IF(ISERROR(FIND("-",AF278)),IF(ISERROR(FIND("+",AF278)),AF278,LEFT(AF278,FIND("+",AF278)-1)),LEFT(AF278,FIND("-",AF278)-1)),'Brown tagset'!$A:$A,0))</f>
        <v>preposition</v>
      </c>
      <c r="AH278" s="9" t="s">
        <v>60</v>
      </c>
      <c r="AI278" s="9" t="str">
        <f>INDEX('Brown-Universal mapping'!$B:$B,MATCH(AF278,'Brown-Universal mapping'!$A:$A,0))</f>
        <v>ADP</v>
      </c>
      <c r="AJ278" s="9">
        <f t="shared" si="48"/>
        <v>1</v>
      </c>
      <c r="AK278" s="9">
        <f t="shared" si="49"/>
        <v>1</v>
      </c>
      <c r="AM278" s="6">
        <f t="shared" si="52"/>
        <v>3</v>
      </c>
      <c r="AN278" s="6">
        <f t="shared" si="53"/>
        <v>3</v>
      </c>
      <c r="AP278" s="6" t="str">
        <f t="shared" si="54"/>
        <v>preposition3</v>
      </c>
    </row>
    <row r="279" spans="1:42" x14ac:dyDescent="0.25">
      <c r="A279" s="4">
        <v>1821</v>
      </c>
      <c r="D279" s="3" t="s">
        <v>129</v>
      </c>
      <c r="E279" s="3" t="str">
        <f>INDEX('Brown tagset'!$B:$B,MATCH(IF(ISERROR(FIND("-",D279)),IF(ISERROR(FIND("+",D279)),D279,LEFT(D279,FIND("+",D279)-1)),LEFT(D279,FIND("-",D279)-1)),'Brown tagset'!$A:$A,0))</f>
        <v>cardinal numeral (one, two, 2, etc.)</v>
      </c>
      <c r="F279" s="3"/>
      <c r="G279" s="3" t="str">
        <f>INDEX('Brown-Universal mapping'!$B:$B,MATCH(D279,'Brown-Universal mapping'!$A:$A,0))</f>
        <v>NUM</v>
      </c>
      <c r="I279" s="5" t="s">
        <v>129</v>
      </c>
      <c r="J279" s="5" t="str">
        <f>INDEX('Brown tagset'!$B:$B,MATCH(IF(ISERROR(FIND("-",I279)),IF(ISERROR(FIND("+",I279)),I279,LEFT(I279,FIND("+",I279)-1)),LEFT(I279,FIND("-",I279)-1)),'Brown tagset'!$A:$A,0))</f>
        <v>cardinal numeral (one, two, 2, etc.)</v>
      </c>
      <c r="K279" s="5" t="s">
        <v>130</v>
      </c>
      <c r="L279" s="5" t="str">
        <f>INDEX('Brown-Universal mapping'!$B:$B,MATCH(I279,'Brown-Universal mapping'!$A:$A,0))</f>
        <v>NUM</v>
      </c>
      <c r="M279" s="5">
        <f t="shared" si="44"/>
        <v>1</v>
      </c>
      <c r="N279" s="5">
        <f t="shared" si="45"/>
        <v>1</v>
      </c>
      <c r="P279" s="12">
        <v>1821</v>
      </c>
      <c r="Q279" s="7" t="s">
        <v>305</v>
      </c>
      <c r="R279" s="7" t="str">
        <f>INDEX('Brown tagset'!$B:$B,MATCH(IF(ISERROR(FIND("-",Q279)),IF(ISERROR(FIND("+",Q279)),Q279,LEFT(Q279,FIND("+",Q279)-1)),LEFT(Q279,FIND("-",Q279)-1)),'Brown tagset'!$A:$A,0))</f>
        <v>cardinal numeral (one, two, 2, etc.)</v>
      </c>
      <c r="S279" s="7"/>
      <c r="T279" s="7" t="str">
        <f>INDEX('Brown-Universal mapping'!$B:$B,MATCH(Q279,'Brown-Universal mapping'!$A:$A,0))</f>
        <v>NUM</v>
      </c>
      <c r="U279" s="7">
        <f t="shared" si="46"/>
        <v>1</v>
      </c>
      <c r="V279" s="7">
        <f t="shared" si="47"/>
        <v>1</v>
      </c>
      <c r="X279" s="12">
        <v>1821</v>
      </c>
      <c r="Y279" s="7" t="s">
        <v>305</v>
      </c>
      <c r="Z279" s="7" t="str">
        <f>INDEX('Brown tagset'!$B:$B,MATCH(IF(ISERROR(FIND("-",Y279)),IF(ISERROR(FIND("+",Y279)),Y279,LEFT(Y279,FIND("+",Y279)-1)),LEFT(Y279,FIND("-",Y279)-1)),'Brown tagset'!$A:$A,0))</f>
        <v>cardinal numeral (one, two, 2, etc.)</v>
      </c>
      <c r="AA279" s="7"/>
      <c r="AB279" s="7" t="str">
        <f>INDEX('Brown-Universal mapping'!$B:$B,MATCH(Y279,'Brown-Universal mapping'!$A:$A,0))</f>
        <v>NUM</v>
      </c>
      <c r="AC279" s="7">
        <f t="shared" si="50"/>
        <v>1</v>
      </c>
      <c r="AD279" s="7">
        <f t="shared" si="51"/>
        <v>1</v>
      </c>
      <c r="AF279" s="9" t="s">
        <v>129</v>
      </c>
      <c r="AG279" s="9" t="str">
        <f>INDEX('Brown tagset'!$B:$B,MATCH(IF(ISERROR(FIND("-",AF279)),IF(ISERROR(FIND("+",AF279)),AF279,LEFT(AF279,FIND("+",AF279)-1)),LEFT(AF279,FIND("-",AF279)-1)),'Brown tagset'!$A:$A,0))</f>
        <v>cardinal numeral (one, two, 2, etc.)</v>
      </c>
      <c r="AH279" s="9" t="s">
        <v>130</v>
      </c>
      <c r="AI279" s="9" t="str">
        <f>INDEX('Brown-Universal mapping'!$B:$B,MATCH(AF279,'Brown-Universal mapping'!$A:$A,0))</f>
        <v>NUM</v>
      </c>
      <c r="AJ279" s="9">
        <f t="shared" si="48"/>
        <v>1</v>
      </c>
      <c r="AK279" s="9">
        <f t="shared" si="49"/>
        <v>1</v>
      </c>
      <c r="AM279" s="6">
        <f t="shared" si="52"/>
        <v>3</v>
      </c>
      <c r="AN279" s="6">
        <f t="shared" si="53"/>
        <v>3</v>
      </c>
      <c r="AP279" s="6" t="str">
        <f t="shared" si="54"/>
        <v>cardinal numeral (one, two, 2, etc.)3</v>
      </c>
    </row>
    <row r="280" spans="1:42" x14ac:dyDescent="0.25">
      <c r="A280" s="4" t="s">
        <v>233</v>
      </c>
      <c r="D280" s="3" t="s">
        <v>181</v>
      </c>
      <c r="E280" s="3" t="str">
        <f>INDEX('Brown tagset'!$B:$B,MATCH(IF(ISERROR(FIND("-",D280)),IF(ISERROR(FIND("+",D280)),D280,LEFT(D280,FIND("+",D280)-1)),LEFT(D280,FIND("-",D280)-1)),'Brown tagset'!$A:$A,0))</f>
        <v>singular or mass noun</v>
      </c>
      <c r="F280" s="3"/>
      <c r="G280" s="3" t="str">
        <f>INDEX('Brown-Universal mapping'!$B:$B,MATCH(D280,'Brown-Universal mapping'!$A:$A,0))</f>
        <v>NOUN</v>
      </c>
      <c r="I280" s="5" t="s">
        <v>66</v>
      </c>
      <c r="J280" s="5" t="str">
        <f>INDEX('Brown tagset'!$B:$B,MATCH(IF(ISERROR(FIND("-",I280)),IF(ISERROR(FIND("+",I280)),I280,LEFT(I280,FIND("+",I280)-1)),LEFT(I280,FIND("-",I280)-1)),'Brown tagset'!$A:$A,0))</f>
        <v>proper noun or part of name phrase</v>
      </c>
      <c r="K280" s="5" t="s">
        <v>13</v>
      </c>
      <c r="L280" s="5" t="str">
        <f>INDEX('Brown-Universal mapping'!$B:$B,MATCH(I280,'Brown-Universal mapping'!$A:$A,0))</f>
        <v>NOUN</v>
      </c>
      <c r="M280" s="5">
        <f t="shared" si="44"/>
        <v>0</v>
      </c>
      <c r="N280" s="5">
        <f t="shared" si="45"/>
        <v>1</v>
      </c>
      <c r="P280" s="12" t="s">
        <v>233</v>
      </c>
      <c r="Q280" s="7" t="s">
        <v>325</v>
      </c>
      <c r="R280" s="7" t="str">
        <f>INDEX('Brown tagset'!$B:$B,MATCH(IF(ISERROR(FIND("-",Q280)),IF(ISERROR(FIND("+",Q280)),Q280,LEFT(Q280,FIND("+",Q280)-1)),LEFT(Q280,FIND("-",Q280)-1)),'Brown tagset'!$A:$A,0))</f>
        <v>singular or mass noun</v>
      </c>
      <c r="S280" s="7"/>
      <c r="T280" s="7" t="str">
        <f>INDEX('Brown-Universal mapping'!$B:$B,MATCH(Q280,'Brown-Universal mapping'!$A:$A,0))</f>
        <v>NOUN</v>
      </c>
      <c r="U280" s="7">
        <f t="shared" si="46"/>
        <v>1</v>
      </c>
      <c r="V280" s="7">
        <f t="shared" si="47"/>
        <v>1</v>
      </c>
      <c r="X280" s="12" t="s">
        <v>233</v>
      </c>
      <c r="Y280" s="7" t="s">
        <v>325</v>
      </c>
      <c r="Z280" s="7" t="str">
        <f>INDEX('Brown tagset'!$B:$B,MATCH(IF(ISERROR(FIND("-",Y280)),IF(ISERROR(FIND("+",Y280)),Y280,LEFT(Y280,FIND("+",Y280)-1)),LEFT(Y280,FIND("-",Y280)-1)),'Brown tagset'!$A:$A,0))</f>
        <v>singular or mass noun</v>
      </c>
      <c r="AA280" s="7"/>
      <c r="AB280" s="7" t="str">
        <f>INDEX('Brown-Universal mapping'!$B:$B,MATCH(Y280,'Brown-Universal mapping'!$A:$A,0))</f>
        <v>NOUN</v>
      </c>
      <c r="AC280" s="7">
        <f t="shared" si="50"/>
        <v>1</v>
      </c>
      <c r="AD280" s="7">
        <f t="shared" si="51"/>
        <v>1</v>
      </c>
      <c r="AF280" s="9" t="s">
        <v>181</v>
      </c>
      <c r="AG280" s="9" t="str">
        <f>INDEX('Brown tagset'!$B:$B,MATCH(IF(ISERROR(FIND("-",AF280)),IF(ISERROR(FIND("+",AF280)),AF280,LEFT(AF280,FIND("+",AF280)-1)),LEFT(AF280,FIND("-",AF280)-1)),'Brown tagset'!$A:$A,0))</f>
        <v>singular or mass noun</v>
      </c>
      <c r="AH280" s="9" t="s">
        <v>2</v>
      </c>
      <c r="AI280" s="9" t="str">
        <f>INDEX('Brown-Universal mapping'!$B:$B,MATCH(AF280,'Brown-Universal mapping'!$A:$A,0))</f>
        <v>NOUN</v>
      </c>
      <c r="AJ280" s="9">
        <f t="shared" si="48"/>
        <v>1</v>
      </c>
      <c r="AK280" s="9">
        <f t="shared" si="49"/>
        <v>1</v>
      </c>
      <c r="AM280" s="6">
        <f t="shared" si="52"/>
        <v>2</v>
      </c>
      <c r="AN280" s="6">
        <f t="shared" si="53"/>
        <v>3</v>
      </c>
      <c r="AP280" s="6" t="str">
        <f t="shared" si="54"/>
        <v>singular or mass noun2</v>
      </c>
    </row>
    <row r="281" spans="1:42" x14ac:dyDescent="0.25">
      <c r="A281" s="4" t="s">
        <v>234</v>
      </c>
      <c r="D281" s="3" t="s">
        <v>150</v>
      </c>
      <c r="E281" s="3" t="str">
        <f>INDEX('Brown tagset'!$B:$B,MATCH(IF(ISERROR(FIND("-",D281)),IF(ISERROR(FIND("+",D281)),D281,LEFT(D281,FIND("+",D281)-1)),LEFT(D281,FIND("-",D281)-1)),'Brown tagset'!$A:$A,0))</f>
        <v>adjective</v>
      </c>
      <c r="F281" s="3"/>
      <c r="G281" s="3" t="str">
        <f>INDEX('Brown-Universal mapping'!$B:$B,MATCH(D281,'Brown-Universal mapping'!$A:$A,0))</f>
        <v>ADJ</v>
      </c>
      <c r="I281" s="5" t="s">
        <v>150</v>
      </c>
      <c r="J281" s="5" t="str">
        <f>INDEX('Brown tagset'!$B:$B,MATCH(IF(ISERROR(FIND("-",I281)),IF(ISERROR(FIND("+",I281)),I281,LEFT(I281,FIND("+",I281)-1)),LEFT(I281,FIND("-",I281)-1)),'Brown tagset'!$A:$A,0))</f>
        <v>adjective</v>
      </c>
      <c r="K281" s="5" t="s">
        <v>2</v>
      </c>
      <c r="L281" s="5" t="str">
        <f>INDEX('Brown-Universal mapping'!$B:$B,MATCH(I281,'Brown-Universal mapping'!$A:$A,0))</f>
        <v>ADJ</v>
      </c>
      <c r="M281" s="5">
        <f t="shared" si="44"/>
        <v>1</v>
      </c>
      <c r="N281" s="5">
        <f t="shared" si="45"/>
        <v>1</v>
      </c>
      <c r="P281" s="12" t="s">
        <v>234</v>
      </c>
      <c r="Q281" s="7" t="s">
        <v>322</v>
      </c>
      <c r="R281" s="7" t="str">
        <f>INDEX('Brown tagset'!$B:$B,MATCH(IF(ISERROR(FIND("-",Q281)),IF(ISERROR(FIND("+",Q281)),Q281,LEFT(Q281,FIND("+",Q281)-1)),LEFT(Q281,FIND("-",Q281)-1)),'Brown tagset'!$A:$A,0))</f>
        <v>adjective</v>
      </c>
      <c r="S281" s="7"/>
      <c r="T281" s="7" t="str">
        <f>INDEX('Brown-Universal mapping'!$B:$B,MATCH(Q281,'Brown-Universal mapping'!$A:$A,0))</f>
        <v>ADJ</v>
      </c>
      <c r="U281" s="7">
        <f t="shared" si="46"/>
        <v>1</v>
      </c>
      <c r="V281" s="7">
        <f t="shared" si="47"/>
        <v>1</v>
      </c>
      <c r="X281" s="12" t="s">
        <v>234</v>
      </c>
      <c r="Y281" s="7" t="s">
        <v>322</v>
      </c>
      <c r="Z281" s="7" t="str">
        <f>INDEX('Brown tagset'!$B:$B,MATCH(IF(ISERROR(FIND("-",Y281)),IF(ISERROR(FIND("+",Y281)),Y281,LEFT(Y281,FIND("+",Y281)-1)),LEFT(Y281,FIND("-",Y281)-1)),'Brown tagset'!$A:$A,0))</f>
        <v>adjective</v>
      </c>
      <c r="AA281" s="7"/>
      <c r="AB281" s="7" t="str">
        <f>INDEX('Brown-Universal mapping'!$B:$B,MATCH(Y281,'Brown-Universal mapping'!$A:$A,0))</f>
        <v>ADJ</v>
      </c>
      <c r="AC281" s="7">
        <f t="shared" si="50"/>
        <v>1</v>
      </c>
      <c r="AD281" s="7">
        <f t="shared" si="51"/>
        <v>1</v>
      </c>
      <c r="AF281" s="9" t="s">
        <v>150</v>
      </c>
      <c r="AG281" s="9" t="str">
        <f>INDEX('Brown tagset'!$B:$B,MATCH(IF(ISERROR(FIND("-",AF281)),IF(ISERROR(FIND("+",AF281)),AF281,LEFT(AF281,FIND("+",AF281)-1)),LEFT(AF281,FIND("-",AF281)-1)),'Brown tagset'!$A:$A,0))</f>
        <v>adjective</v>
      </c>
      <c r="AH281" s="9" t="s">
        <v>2</v>
      </c>
      <c r="AI281" s="9" t="str">
        <f>INDEX('Brown-Universal mapping'!$B:$B,MATCH(AF281,'Brown-Universal mapping'!$A:$A,0))</f>
        <v>ADJ</v>
      </c>
      <c r="AJ281" s="9">
        <f t="shared" si="48"/>
        <v>1</v>
      </c>
      <c r="AK281" s="9">
        <f t="shared" si="49"/>
        <v>1</v>
      </c>
      <c r="AM281" s="6">
        <f t="shared" si="52"/>
        <v>3</v>
      </c>
      <c r="AN281" s="6">
        <f t="shared" si="53"/>
        <v>3</v>
      </c>
      <c r="AP281" s="6" t="str">
        <f t="shared" si="54"/>
        <v>adjective3</v>
      </c>
    </row>
    <row r="282" spans="1:42" x14ac:dyDescent="0.25">
      <c r="A282" s="4" t="s">
        <v>235</v>
      </c>
      <c r="D282" s="3" t="s">
        <v>150</v>
      </c>
      <c r="E282" s="3" t="str">
        <f>INDEX('Brown tagset'!$B:$B,MATCH(IF(ISERROR(FIND("-",D282)),IF(ISERROR(FIND("+",D282)),D282,LEFT(D282,FIND("+",D282)-1)),LEFT(D282,FIND("-",D282)-1)),'Brown tagset'!$A:$A,0))</f>
        <v>adjective</v>
      </c>
      <c r="F282" s="3"/>
      <c r="G282" s="3" t="str">
        <f>INDEX('Brown-Universal mapping'!$B:$B,MATCH(D282,'Brown-Universal mapping'!$A:$A,0))</f>
        <v>ADJ</v>
      </c>
      <c r="I282" s="5" t="s">
        <v>236</v>
      </c>
      <c r="J282" s="5" t="str">
        <f>INDEX('Brown tagset'!$B:$B,MATCH(IF(ISERROR(FIND("-",I282)),IF(ISERROR(FIND("+",I282)),I282,LEFT(I282,FIND("+",I282)-1)),LEFT(I282,FIND("-",I282)-1)),'Brown tagset'!$A:$A,0))</f>
        <v>adverbial noun (home, today, west)</v>
      </c>
      <c r="K282" s="5" t="s">
        <v>2</v>
      </c>
      <c r="L282" s="5" t="str">
        <f>INDEX('Brown-Universal mapping'!$B:$B,MATCH(I282,'Brown-Universal mapping'!$A:$A,0))</f>
        <v>NOUN</v>
      </c>
      <c r="M282" s="5">
        <f t="shared" si="44"/>
        <v>0</v>
      </c>
      <c r="N282" s="5">
        <f t="shared" si="45"/>
        <v>0</v>
      </c>
      <c r="P282" s="12" t="s">
        <v>235</v>
      </c>
      <c r="Q282" s="7" t="s">
        <v>322</v>
      </c>
      <c r="R282" s="7" t="str">
        <f>INDEX('Brown tagset'!$B:$B,MATCH(IF(ISERROR(FIND("-",Q282)),IF(ISERROR(FIND("+",Q282)),Q282,LEFT(Q282,FIND("+",Q282)-1)),LEFT(Q282,FIND("-",Q282)-1)),'Brown tagset'!$A:$A,0))</f>
        <v>adjective</v>
      </c>
      <c r="S282" s="7"/>
      <c r="T282" s="7" t="str">
        <f>INDEX('Brown-Universal mapping'!$B:$B,MATCH(Q282,'Brown-Universal mapping'!$A:$A,0))</f>
        <v>ADJ</v>
      </c>
      <c r="U282" s="7">
        <f t="shared" si="46"/>
        <v>1</v>
      </c>
      <c r="V282" s="7">
        <f t="shared" si="47"/>
        <v>1</v>
      </c>
      <c r="X282" s="12" t="s">
        <v>235</v>
      </c>
      <c r="Y282" s="7" t="s">
        <v>322</v>
      </c>
      <c r="Z282" s="7" t="str">
        <f>INDEX('Brown tagset'!$B:$B,MATCH(IF(ISERROR(FIND("-",Y282)),IF(ISERROR(FIND("+",Y282)),Y282,LEFT(Y282,FIND("+",Y282)-1)),LEFT(Y282,FIND("-",Y282)-1)),'Brown tagset'!$A:$A,0))</f>
        <v>adjective</v>
      </c>
      <c r="AA282" s="7"/>
      <c r="AB282" s="7" t="str">
        <f>INDEX('Brown-Universal mapping'!$B:$B,MATCH(Y282,'Brown-Universal mapping'!$A:$A,0))</f>
        <v>ADJ</v>
      </c>
      <c r="AC282" s="7">
        <f t="shared" si="50"/>
        <v>1</v>
      </c>
      <c r="AD282" s="7">
        <f t="shared" si="51"/>
        <v>1</v>
      </c>
      <c r="AF282" s="9" t="s">
        <v>150</v>
      </c>
      <c r="AG282" s="9" t="str">
        <f>INDEX('Brown tagset'!$B:$B,MATCH(IF(ISERROR(FIND("-",AF282)),IF(ISERROR(FIND("+",AF282)),AF282,LEFT(AF282,FIND("+",AF282)-1)),LEFT(AF282,FIND("-",AF282)-1)),'Brown tagset'!$A:$A,0))</f>
        <v>adjective</v>
      </c>
      <c r="AH282" s="9" t="s">
        <v>2</v>
      </c>
      <c r="AI282" s="9" t="str">
        <f>INDEX('Brown-Universal mapping'!$B:$B,MATCH(AF282,'Brown-Universal mapping'!$A:$A,0))</f>
        <v>ADJ</v>
      </c>
      <c r="AJ282" s="9">
        <f t="shared" si="48"/>
        <v>1</v>
      </c>
      <c r="AK282" s="9">
        <f t="shared" si="49"/>
        <v>1</v>
      </c>
      <c r="AM282" s="6">
        <f t="shared" si="52"/>
        <v>2</v>
      </c>
      <c r="AN282" s="6">
        <f t="shared" si="53"/>
        <v>2</v>
      </c>
      <c r="AP282" s="6" t="str">
        <f t="shared" si="54"/>
        <v>adjective2</v>
      </c>
    </row>
    <row r="283" spans="1:42" x14ac:dyDescent="0.25">
      <c r="A283" s="4" t="s">
        <v>124</v>
      </c>
      <c r="D283" s="3" t="s">
        <v>59</v>
      </c>
      <c r="E283" s="3" t="str">
        <f>INDEX('Brown tagset'!$B:$B,MATCH(IF(ISERROR(FIND("-",D283)),IF(ISERROR(FIND("+",D283)),D283,LEFT(D283,FIND("+",D283)-1)),LEFT(D283,FIND("-",D283)-1)),'Brown tagset'!$A:$A,0))</f>
        <v>preposition</v>
      </c>
      <c r="F283" s="3"/>
      <c r="G283" s="3" t="str">
        <f>INDEX('Brown-Universal mapping'!$B:$B,MATCH(D283,'Brown-Universal mapping'!$A:$A,0))</f>
        <v>ADP</v>
      </c>
      <c r="I283" s="5" t="s">
        <v>59</v>
      </c>
      <c r="J283" s="5" t="str">
        <f>INDEX('Brown tagset'!$B:$B,MATCH(IF(ISERROR(FIND("-",I283)),IF(ISERROR(FIND("+",I283)),I283,LEFT(I283,FIND("+",I283)-1)),LEFT(I283,FIND("-",I283)-1)),'Brown tagset'!$A:$A,0))</f>
        <v>preposition</v>
      </c>
      <c r="K283" s="5" t="s">
        <v>60</v>
      </c>
      <c r="L283" s="5" t="str">
        <f>INDEX('Brown-Universal mapping'!$B:$B,MATCH(I283,'Brown-Universal mapping'!$A:$A,0))</f>
        <v>ADP</v>
      </c>
      <c r="M283" s="5">
        <f t="shared" si="44"/>
        <v>1</v>
      </c>
      <c r="N283" s="5">
        <f t="shared" si="45"/>
        <v>1</v>
      </c>
      <c r="P283" s="12" t="s">
        <v>124</v>
      </c>
      <c r="Q283" s="7" t="s">
        <v>124</v>
      </c>
      <c r="R283" s="7" t="str">
        <f>INDEX('Brown tagset'!$B:$B,MATCH(IF(ISERROR(FIND("-",Q283)),IF(ISERROR(FIND("+",Q283)),Q283,LEFT(Q283,FIND("+",Q283)-1)),LEFT(Q283,FIND("-",Q283)-1)),'Brown tagset'!$A:$A,0))</f>
        <v>preposition</v>
      </c>
      <c r="S283" s="7"/>
      <c r="T283" s="7" t="str">
        <f>INDEX('Brown-Universal mapping'!$B:$B,MATCH(Q283,'Brown-Universal mapping'!$A:$A,0))</f>
        <v>ADP</v>
      </c>
      <c r="U283" s="7">
        <f t="shared" si="46"/>
        <v>1</v>
      </c>
      <c r="V283" s="7">
        <f t="shared" si="47"/>
        <v>1</v>
      </c>
      <c r="X283" s="12" t="s">
        <v>124</v>
      </c>
      <c r="Y283" s="7" t="s">
        <v>124</v>
      </c>
      <c r="Z283" s="7" t="str">
        <f>INDEX('Brown tagset'!$B:$B,MATCH(IF(ISERROR(FIND("-",Y283)),IF(ISERROR(FIND("+",Y283)),Y283,LEFT(Y283,FIND("+",Y283)-1)),LEFT(Y283,FIND("-",Y283)-1)),'Brown tagset'!$A:$A,0))</f>
        <v>preposition</v>
      </c>
      <c r="AA283" s="7"/>
      <c r="AB283" s="7" t="str">
        <f>INDEX('Brown-Universal mapping'!$B:$B,MATCH(Y283,'Brown-Universal mapping'!$A:$A,0))</f>
        <v>ADP</v>
      </c>
      <c r="AC283" s="7">
        <f t="shared" si="50"/>
        <v>1</v>
      </c>
      <c r="AD283" s="7">
        <f t="shared" si="51"/>
        <v>1</v>
      </c>
      <c r="AF283" s="9" t="s">
        <v>59</v>
      </c>
      <c r="AG283" s="9" t="str">
        <f>INDEX('Brown tagset'!$B:$B,MATCH(IF(ISERROR(FIND("-",AF283)),IF(ISERROR(FIND("+",AF283)),AF283,LEFT(AF283,FIND("+",AF283)-1)),LEFT(AF283,FIND("-",AF283)-1)),'Brown tagset'!$A:$A,0))</f>
        <v>preposition</v>
      </c>
      <c r="AH283" s="9" t="s">
        <v>60</v>
      </c>
      <c r="AI283" s="9" t="str">
        <f>INDEX('Brown-Universal mapping'!$B:$B,MATCH(AF283,'Brown-Universal mapping'!$A:$A,0))</f>
        <v>ADP</v>
      </c>
      <c r="AJ283" s="9">
        <f t="shared" si="48"/>
        <v>1</v>
      </c>
      <c r="AK283" s="9">
        <f t="shared" si="49"/>
        <v>1</v>
      </c>
      <c r="AM283" s="6">
        <f t="shared" si="52"/>
        <v>3</v>
      </c>
      <c r="AN283" s="6">
        <f t="shared" si="53"/>
        <v>3</v>
      </c>
      <c r="AP283" s="6" t="str">
        <f t="shared" si="54"/>
        <v>preposition3</v>
      </c>
    </row>
    <row r="284" spans="1:42" x14ac:dyDescent="0.25">
      <c r="A284" s="25" t="s">
        <v>177</v>
      </c>
      <c r="B284" s="25"/>
      <c r="D284" s="3" t="s">
        <v>66</v>
      </c>
      <c r="E284" s="3" t="str">
        <f>INDEX('Brown tagset'!$B:$B,MATCH(IF(ISERROR(FIND("-",D284)),IF(ISERROR(FIND("+",D284)),D284,LEFT(D284,FIND("+",D284)-1)),LEFT(D284,FIND("-",D284)-1)),'Brown tagset'!$A:$A,0))</f>
        <v>proper noun or part of name phrase</v>
      </c>
      <c r="F284" s="3"/>
      <c r="G284" s="3" t="str">
        <f>INDEX('Brown-Universal mapping'!$B:$B,MATCH(D284,'Brown-Universal mapping'!$A:$A,0))</f>
        <v>NOUN</v>
      </c>
      <c r="I284" s="5" t="s">
        <v>66</v>
      </c>
      <c r="J284" s="5" t="str">
        <f>INDEX('Brown tagset'!$B:$B,MATCH(IF(ISERROR(FIND("-",I284)),IF(ISERROR(FIND("+",I284)),I284,LEFT(I284,FIND("+",I284)-1)),LEFT(I284,FIND("-",I284)-1)),'Brown tagset'!$A:$A,0))</f>
        <v>proper noun or part of name phrase</v>
      </c>
      <c r="K284" s="5" t="s">
        <v>13</v>
      </c>
      <c r="L284" s="5" t="str">
        <f>INDEX('Brown-Universal mapping'!$B:$B,MATCH(I284,'Brown-Universal mapping'!$A:$A,0))</f>
        <v>NOUN</v>
      </c>
      <c r="M284" s="5">
        <f t="shared" si="44"/>
        <v>1</v>
      </c>
      <c r="N284" s="5">
        <f t="shared" si="45"/>
        <v>1</v>
      </c>
      <c r="P284" s="12" t="s">
        <v>177</v>
      </c>
      <c r="Q284" s="7" t="s">
        <v>287</v>
      </c>
      <c r="R284" s="7" t="str">
        <f>INDEX('Brown tagset'!$B:$B,MATCH(IF(ISERROR(FIND("-",Q284)),IF(ISERROR(FIND("+",Q284)),Q284,LEFT(Q284,FIND("+",Q284)-1)),LEFT(Q284,FIND("-",Q284)-1)),'Brown tagset'!$A:$A,0))</f>
        <v>proper noun or part of name phrase</v>
      </c>
      <c r="S284" s="7"/>
      <c r="T284" s="7" t="str">
        <f>INDEX('Brown-Universal mapping'!$B:$B,MATCH(Q284,'Brown-Universal mapping'!$A:$A,0))</f>
        <v>NOUN</v>
      </c>
      <c r="U284" s="7">
        <f t="shared" si="46"/>
        <v>1</v>
      </c>
      <c r="V284" s="7">
        <f t="shared" si="47"/>
        <v>1</v>
      </c>
      <c r="X284" s="12" t="s">
        <v>177</v>
      </c>
      <c r="Y284" s="7" t="s">
        <v>287</v>
      </c>
      <c r="Z284" s="7" t="str">
        <f>INDEX('Brown tagset'!$B:$B,MATCH(IF(ISERROR(FIND("-",Y284)),IF(ISERROR(FIND("+",Y284)),Y284,LEFT(Y284,FIND("+",Y284)-1)),LEFT(Y284,FIND("-",Y284)-1)),'Brown tagset'!$A:$A,0))</f>
        <v>proper noun or part of name phrase</v>
      </c>
      <c r="AA284" s="7"/>
      <c r="AB284" s="7" t="str">
        <f>INDEX('Brown-Universal mapping'!$B:$B,MATCH(Y284,'Brown-Universal mapping'!$A:$A,0))</f>
        <v>NOUN</v>
      </c>
      <c r="AC284" s="7">
        <f t="shared" si="50"/>
        <v>1</v>
      </c>
      <c r="AD284" s="7">
        <f t="shared" si="51"/>
        <v>1</v>
      </c>
      <c r="AF284" s="9" t="s">
        <v>340</v>
      </c>
      <c r="AG284" s="9" t="str">
        <f>INDEX('Brown tagset'!$B:$B,MATCH(IF(ISERROR(FIND("-",AF284)),IF(ISERROR(FIND("+",AF284)),AF284,LEFT(AF284,FIND("+",AF284)-1)),LEFT(AF284,FIND("-",AF284)-1)),'Brown tagset'!$A:$A,0))</f>
        <v>unknown</v>
      </c>
      <c r="AH284" s="9" t="s">
        <v>2</v>
      </c>
      <c r="AI284" s="9" t="str">
        <f>INDEX('Brown-Universal mapping'!$B:$B,MATCH(AF284,'Brown-Universal mapping'!$A:$A,0))</f>
        <v>Unknown</v>
      </c>
      <c r="AJ284" s="9">
        <f t="shared" si="48"/>
        <v>0</v>
      </c>
      <c r="AK284" s="9">
        <f t="shared" si="49"/>
        <v>0</v>
      </c>
      <c r="AM284" s="6">
        <f t="shared" si="52"/>
        <v>2</v>
      </c>
      <c r="AN284" s="6">
        <f t="shared" si="53"/>
        <v>2</v>
      </c>
      <c r="AP284" s="6" t="str">
        <f t="shared" si="54"/>
        <v>unknown2</v>
      </c>
    </row>
    <row r="285" spans="1:42" x14ac:dyDescent="0.25">
      <c r="A285" s="4" t="s">
        <v>38</v>
      </c>
      <c r="D285" s="3" t="s">
        <v>38</v>
      </c>
      <c r="E285" s="3" t="str">
        <f>INDEX('Brown tagset'!$B:$B,MATCH(IF(ISERROR(FIND("-",D285)),IF(ISERROR(FIND("+",D285)),D285,LEFT(D285,FIND("+",D285)-1)),LEFT(D285,FIND("-",D285)-1)),'Brown tagset'!$A:$A,0))</f>
        <v>sentence (. ; ? *)</v>
      </c>
      <c r="F285" s="3"/>
      <c r="G285" s="3" t="str">
        <f>INDEX('Brown-Universal mapping'!$B:$B,MATCH(D285,'Brown-Universal mapping'!$A:$A,0))</f>
        <v>.</v>
      </c>
      <c r="I285" s="5" t="s">
        <v>38</v>
      </c>
      <c r="J285" s="5" t="str">
        <f>INDEX('Brown tagset'!$B:$B,MATCH(IF(ISERROR(FIND("-",I285)),IF(ISERROR(FIND("+",I285)),I285,LEFT(I285,FIND("+",I285)-1)),LEFT(I285,FIND("-",I285)-1)),'Brown tagset'!$A:$A,0))</f>
        <v>sentence (. ; ? *)</v>
      </c>
      <c r="K285" s="5" t="s">
        <v>38</v>
      </c>
      <c r="L285" s="5" t="str">
        <f>INDEX('Brown-Universal mapping'!$B:$B,MATCH(I285,'Brown-Universal mapping'!$A:$A,0))</f>
        <v>.</v>
      </c>
      <c r="M285" s="5">
        <f t="shared" si="44"/>
        <v>1</v>
      </c>
      <c r="N285" s="5">
        <f t="shared" si="45"/>
        <v>1</v>
      </c>
      <c r="P285" s="12" t="s">
        <v>38</v>
      </c>
      <c r="Q285" s="7" t="s">
        <v>38</v>
      </c>
      <c r="R285" s="7" t="str">
        <f>INDEX('Brown tagset'!$B:$B,MATCH(IF(ISERROR(FIND("-",Q285)),IF(ISERROR(FIND("+",Q285)),Q285,LEFT(Q285,FIND("+",Q285)-1)),LEFT(Q285,FIND("-",Q285)-1)),'Brown tagset'!$A:$A,0))</f>
        <v>sentence (. ; ? *)</v>
      </c>
      <c r="S285" s="7"/>
      <c r="T285" s="7" t="str">
        <f>INDEX('Brown-Universal mapping'!$B:$B,MATCH(Q285,'Brown-Universal mapping'!$A:$A,0))</f>
        <v>.</v>
      </c>
      <c r="U285" s="7">
        <f t="shared" si="46"/>
        <v>1</v>
      </c>
      <c r="V285" s="7">
        <f t="shared" si="47"/>
        <v>1</v>
      </c>
      <c r="X285" s="12" t="s">
        <v>38</v>
      </c>
      <c r="Y285" s="7" t="s">
        <v>38</v>
      </c>
      <c r="Z285" s="7" t="str">
        <f>INDEX('Brown tagset'!$B:$B,MATCH(IF(ISERROR(FIND("-",Y285)),IF(ISERROR(FIND("+",Y285)),Y285,LEFT(Y285,FIND("+",Y285)-1)),LEFT(Y285,FIND("-",Y285)-1)),'Brown tagset'!$A:$A,0))</f>
        <v>sentence (. ; ? *)</v>
      </c>
      <c r="AA285" s="7"/>
      <c r="AB285" s="7" t="str">
        <f>INDEX('Brown-Universal mapping'!$B:$B,MATCH(Y285,'Brown-Universal mapping'!$A:$A,0))</f>
        <v>.</v>
      </c>
      <c r="AC285" s="7">
        <f t="shared" si="50"/>
        <v>1</v>
      </c>
      <c r="AD285" s="7">
        <f t="shared" si="51"/>
        <v>1</v>
      </c>
      <c r="AF285" s="9" t="s">
        <v>38</v>
      </c>
      <c r="AG285" s="9" t="str">
        <f>INDEX('Brown tagset'!$B:$B,MATCH(IF(ISERROR(FIND("-",AF285)),IF(ISERROR(FIND("+",AF285)),AF285,LEFT(AF285,FIND("+",AF285)-1)),LEFT(AF285,FIND("-",AF285)-1)),'Brown tagset'!$A:$A,0))</f>
        <v>sentence (. ; ? *)</v>
      </c>
      <c r="AH285" s="9" t="s">
        <v>38</v>
      </c>
      <c r="AI285" s="9" t="str">
        <f>INDEX('Brown-Universal mapping'!$B:$B,MATCH(AF285,'Brown-Universal mapping'!$A:$A,0))</f>
        <v>.</v>
      </c>
      <c r="AJ285" s="9">
        <f t="shared" si="48"/>
        <v>1</v>
      </c>
      <c r="AK285" s="9">
        <f t="shared" si="49"/>
        <v>1</v>
      </c>
      <c r="AM285" s="6">
        <f t="shared" si="52"/>
        <v>3</v>
      </c>
      <c r="AN285" s="6">
        <f t="shared" si="53"/>
        <v>3</v>
      </c>
      <c r="AP285" s="6" t="str">
        <f t="shared" si="54"/>
        <v>sentence (. ; ? *)3</v>
      </c>
    </row>
    <row r="286" spans="1:42" x14ac:dyDescent="0.25">
      <c r="A286" s="25" t="s">
        <v>237</v>
      </c>
      <c r="B286" s="25"/>
      <c r="C286" s="4">
        <v>1</v>
      </c>
      <c r="D286" s="3" t="s">
        <v>4</v>
      </c>
      <c r="E286" s="3" t="str">
        <f>INDEX('Brown tagset'!$B:$B,MATCH(IF(ISERROR(FIND("-",D286)),IF(ISERROR(FIND("+",D286)),D286,LEFT(D286,FIND("+",D286)-1)),LEFT(D286,FIND("-",D286)-1)),'Brown tagset'!$A:$A,0))</f>
        <v>adverb</v>
      </c>
      <c r="F286" s="3"/>
      <c r="G286" s="3" t="str">
        <f>INDEX('Brown-Universal mapping'!$B:$B,MATCH(D286,'Brown-Universal mapping'!$A:$A,0))</f>
        <v>ADV</v>
      </c>
      <c r="I286" s="5" t="s">
        <v>4</v>
      </c>
      <c r="J286" s="5" t="str">
        <f>INDEX('Brown tagset'!$B:$B,MATCH(IF(ISERROR(FIND("-",I286)),IF(ISERROR(FIND("+",I286)),I286,LEFT(I286,FIND("+",I286)-1)),LEFT(I286,FIND("-",I286)-1)),'Brown tagset'!$A:$A,0))</f>
        <v>adverb</v>
      </c>
      <c r="K286" s="5" t="s">
        <v>5</v>
      </c>
      <c r="L286" s="5" t="str">
        <f>INDEX('Brown-Universal mapping'!$B:$B,MATCH(I286,'Brown-Universal mapping'!$A:$A,0))</f>
        <v>ADV</v>
      </c>
      <c r="M286" s="5">
        <f t="shared" si="44"/>
        <v>1</v>
      </c>
      <c r="N286" s="5">
        <f t="shared" si="45"/>
        <v>1</v>
      </c>
      <c r="P286" s="12" t="s">
        <v>237</v>
      </c>
      <c r="Q286" s="7" t="s">
        <v>288</v>
      </c>
      <c r="R286" s="7" t="str">
        <f>INDEX('Brown tagset'!$B:$B,MATCH(IF(ISERROR(FIND("-",Q286)),IF(ISERROR(FIND("+",Q286)),Q286,LEFT(Q286,FIND("+",Q286)-1)),LEFT(Q286,FIND("-",Q286)-1)),'Brown tagset'!$A:$A,0))</f>
        <v>adverb</v>
      </c>
      <c r="S286" s="7"/>
      <c r="T286" s="7" t="str">
        <f>INDEX('Brown-Universal mapping'!$B:$B,MATCH(Q286,'Brown-Universal mapping'!$A:$A,0))</f>
        <v>ADV</v>
      </c>
      <c r="U286" s="7">
        <f t="shared" si="46"/>
        <v>1</v>
      </c>
      <c r="V286" s="7">
        <f t="shared" si="47"/>
        <v>1</v>
      </c>
      <c r="X286" s="12" t="s">
        <v>237</v>
      </c>
      <c r="Y286" s="7" t="s">
        <v>288</v>
      </c>
      <c r="Z286" s="7" t="str">
        <f>INDEX('Brown tagset'!$B:$B,MATCH(IF(ISERROR(FIND("-",Y286)),IF(ISERROR(FIND("+",Y286)),Y286,LEFT(Y286,FIND("+",Y286)-1)),LEFT(Y286,FIND("-",Y286)-1)),'Brown tagset'!$A:$A,0))</f>
        <v>adverb</v>
      </c>
      <c r="AA286" s="7"/>
      <c r="AB286" s="7" t="str">
        <f>INDEX('Brown-Universal mapping'!$B:$B,MATCH(Y286,'Brown-Universal mapping'!$A:$A,0))</f>
        <v>ADV</v>
      </c>
      <c r="AC286" s="7">
        <f t="shared" si="50"/>
        <v>1</v>
      </c>
      <c r="AD286" s="7">
        <f t="shared" si="51"/>
        <v>1</v>
      </c>
      <c r="AF286" s="9" t="s">
        <v>340</v>
      </c>
      <c r="AG286" s="9" t="str">
        <f>INDEX('Brown tagset'!$B:$B,MATCH(IF(ISERROR(FIND("-",AF286)),IF(ISERROR(FIND("+",AF286)),AF286,LEFT(AF286,FIND("+",AF286)-1)),LEFT(AF286,FIND("-",AF286)-1)),'Brown tagset'!$A:$A,0))</f>
        <v>unknown</v>
      </c>
      <c r="AH286" s="9" t="s">
        <v>2</v>
      </c>
      <c r="AI286" s="9" t="str">
        <f>INDEX('Brown-Universal mapping'!$B:$B,MATCH(AF286,'Brown-Universal mapping'!$A:$A,0))</f>
        <v>Unknown</v>
      </c>
      <c r="AJ286" s="9">
        <f t="shared" si="48"/>
        <v>0</v>
      </c>
      <c r="AK286" s="9">
        <f t="shared" si="49"/>
        <v>0</v>
      </c>
      <c r="AM286" s="6">
        <f t="shared" si="52"/>
        <v>2</v>
      </c>
      <c r="AN286" s="6">
        <f t="shared" si="53"/>
        <v>2</v>
      </c>
      <c r="AP286" s="6" t="str">
        <f t="shared" si="54"/>
        <v>unknown2</v>
      </c>
    </row>
    <row r="287" spans="1:42" x14ac:dyDescent="0.25">
      <c r="A287" s="4" t="s">
        <v>112</v>
      </c>
      <c r="D287" s="3" t="s">
        <v>171</v>
      </c>
      <c r="E287" s="3" t="str">
        <f>INDEX('Brown tagset'!$B:$B,MATCH(IF(ISERROR(FIND("-",D287)),IF(ISERROR(FIND("+",D287)),D287,LEFT(D287,FIND("+",D287)-1)),LEFT(D287,FIND("-",D287)-1)),'Brown tagset'!$A:$A,0))</f>
        <v>other nominative personal pronoun (I, we, they, you)</v>
      </c>
      <c r="F287" s="3"/>
      <c r="G287" s="3" t="str">
        <f>INDEX('Brown-Universal mapping'!$B:$B,MATCH(D287,'Brown-Universal mapping'!$A:$A,0))</f>
        <v>PRON</v>
      </c>
      <c r="I287" s="5" t="s">
        <v>171</v>
      </c>
      <c r="J287" s="5" t="str">
        <f>INDEX('Brown tagset'!$B:$B,MATCH(IF(ISERROR(FIND("-",I287)),IF(ISERROR(FIND("+",I287)),I287,LEFT(I287,FIND("+",I287)-1)),LEFT(I287,FIND("-",I287)-1)),'Brown tagset'!$A:$A,0))</f>
        <v>other nominative personal pronoun (I, we, they, you)</v>
      </c>
      <c r="K287" s="5" t="s">
        <v>2</v>
      </c>
      <c r="L287" s="5" t="str">
        <f>INDEX('Brown-Universal mapping'!$B:$B,MATCH(I287,'Brown-Universal mapping'!$A:$A,0))</f>
        <v>PRON</v>
      </c>
      <c r="M287" s="5">
        <f t="shared" si="44"/>
        <v>1</v>
      </c>
      <c r="N287" s="5">
        <f t="shared" si="45"/>
        <v>1</v>
      </c>
      <c r="P287" s="12" t="s">
        <v>112</v>
      </c>
      <c r="Q287" s="7" t="s">
        <v>300</v>
      </c>
      <c r="R287" s="7" t="str">
        <f>INDEX('Brown tagset'!$B:$B,MATCH(IF(ISERROR(FIND("-",Q287)),IF(ISERROR(FIND("+",Q287)),Q287,LEFT(Q287,FIND("+",Q287)-1)),LEFT(Q287,FIND("-",Q287)-1)),'Brown tagset'!$A:$A,0))</f>
        <v>other nominative personal pronoun (I, we, they, you)</v>
      </c>
      <c r="S287" s="7"/>
      <c r="T287" s="7" t="str">
        <f>INDEX('Brown-Universal mapping'!$B:$B,MATCH(Q287,'Brown-Universal mapping'!$A:$A,0))</f>
        <v>PRON</v>
      </c>
      <c r="U287" s="7">
        <f t="shared" si="46"/>
        <v>1</v>
      </c>
      <c r="V287" s="7">
        <f t="shared" si="47"/>
        <v>1</v>
      </c>
      <c r="X287" s="12" t="s">
        <v>112</v>
      </c>
      <c r="Y287" s="7" t="s">
        <v>300</v>
      </c>
      <c r="Z287" s="7" t="str">
        <f>INDEX('Brown tagset'!$B:$B,MATCH(IF(ISERROR(FIND("-",Y287)),IF(ISERROR(FIND("+",Y287)),Y287,LEFT(Y287,FIND("+",Y287)-1)),LEFT(Y287,FIND("-",Y287)-1)),'Brown tagset'!$A:$A,0))</f>
        <v>other nominative personal pronoun (I, we, they, you)</v>
      </c>
      <c r="AA287" s="7"/>
      <c r="AB287" s="7" t="str">
        <f>INDEX('Brown-Universal mapping'!$B:$B,MATCH(Y287,'Brown-Universal mapping'!$A:$A,0))</f>
        <v>PRON</v>
      </c>
      <c r="AC287" s="7">
        <f t="shared" si="50"/>
        <v>1</v>
      </c>
      <c r="AD287" s="7">
        <f t="shared" si="51"/>
        <v>1</v>
      </c>
      <c r="AF287" s="9" t="s">
        <v>171</v>
      </c>
      <c r="AG287" s="9" t="str">
        <f>INDEX('Brown tagset'!$B:$B,MATCH(IF(ISERROR(FIND("-",AF287)),IF(ISERROR(FIND("+",AF287)),AF287,LEFT(AF287,FIND("+",AF287)-1)),LEFT(AF287,FIND("-",AF287)-1)),'Brown tagset'!$A:$A,0))</f>
        <v>other nominative personal pronoun (I, we, they, you)</v>
      </c>
      <c r="AH287" s="9" t="s">
        <v>2</v>
      </c>
      <c r="AI287" s="9" t="str">
        <f>INDEX('Brown-Universal mapping'!$B:$B,MATCH(AF287,'Brown-Universal mapping'!$A:$A,0))</f>
        <v>PRON</v>
      </c>
      <c r="AJ287" s="9">
        <f t="shared" si="48"/>
        <v>1</v>
      </c>
      <c r="AK287" s="9">
        <f t="shared" si="49"/>
        <v>1</v>
      </c>
      <c r="AM287" s="6">
        <f t="shared" si="52"/>
        <v>3</v>
      </c>
      <c r="AN287" s="6">
        <f t="shared" si="53"/>
        <v>3</v>
      </c>
      <c r="AP287" s="6" t="str">
        <f t="shared" si="54"/>
        <v>other nominative personal pronoun (I, we, they, you)3</v>
      </c>
    </row>
    <row r="288" spans="1:42" x14ac:dyDescent="0.25">
      <c r="A288" s="4" t="s">
        <v>100</v>
      </c>
      <c r="D288" s="3" t="s">
        <v>101</v>
      </c>
      <c r="E288" s="3" t="str">
        <f>INDEX('Brown tagset'!$B:$B,MATCH(IF(ISERROR(FIND("-",D288)),IF(ISERROR(FIND("+",D288)),D288,LEFT(D288,FIND("+",D288)-1)),LEFT(D288,FIND("-",D288)-1)),'Brown tagset'!$A:$A,0))</f>
        <v>have</v>
      </c>
      <c r="F288" s="3"/>
      <c r="G288" s="3" t="str">
        <f>INDEX('Brown-Universal mapping'!$B:$B,MATCH(D288,'Brown-Universal mapping'!$A:$A,0))</f>
        <v>VERB</v>
      </c>
      <c r="I288" s="5" t="s">
        <v>101</v>
      </c>
      <c r="J288" s="5" t="str">
        <f>INDEX('Brown tagset'!$B:$B,MATCH(IF(ISERROR(FIND("-",I288)),IF(ISERROR(FIND("+",I288)),I288,LEFT(I288,FIND("+",I288)-1)),LEFT(I288,FIND("-",I288)-1)),'Brown tagset'!$A:$A,0))</f>
        <v>have</v>
      </c>
      <c r="K288" s="5" t="s">
        <v>2</v>
      </c>
      <c r="L288" s="5" t="str">
        <f>INDEX('Brown-Universal mapping'!$B:$B,MATCH(I288,'Brown-Universal mapping'!$A:$A,0))</f>
        <v>VERB</v>
      </c>
      <c r="M288" s="5">
        <f t="shared" si="44"/>
        <v>1</v>
      </c>
      <c r="N288" s="5">
        <f t="shared" si="45"/>
        <v>1</v>
      </c>
      <c r="P288" s="12" t="s">
        <v>100</v>
      </c>
      <c r="Q288" s="7" t="s">
        <v>313</v>
      </c>
      <c r="R288" s="7" t="str">
        <f>INDEX('Brown tagset'!$B:$B,MATCH(IF(ISERROR(FIND("-",Q288)),IF(ISERROR(FIND("+",Q288)),Q288,LEFT(Q288,FIND("+",Q288)-1)),LEFT(Q288,FIND("-",Q288)-1)),'Brown tagset'!$A:$A,0))</f>
        <v>have</v>
      </c>
      <c r="S288" s="7"/>
      <c r="T288" s="7" t="str">
        <f>INDEX('Brown-Universal mapping'!$B:$B,MATCH(Q288,'Brown-Universal mapping'!$A:$A,0))</f>
        <v>VERB</v>
      </c>
      <c r="U288" s="7">
        <f t="shared" si="46"/>
        <v>1</v>
      </c>
      <c r="V288" s="7">
        <f t="shared" si="47"/>
        <v>1</v>
      </c>
      <c r="X288" s="12" t="s">
        <v>100</v>
      </c>
      <c r="Y288" s="7" t="s">
        <v>313</v>
      </c>
      <c r="Z288" s="7" t="str">
        <f>INDEX('Brown tagset'!$B:$B,MATCH(IF(ISERROR(FIND("-",Y288)),IF(ISERROR(FIND("+",Y288)),Y288,LEFT(Y288,FIND("+",Y288)-1)),LEFT(Y288,FIND("-",Y288)-1)),'Brown tagset'!$A:$A,0))</f>
        <v>have</v>
      </c>
      <c r="AA288" s="7"/>
      <c r="AB288" s="7" t="str">
        <f>INDEX('Brown-Universal mapping'!$B:$B,MATCH(Y288,'Brown-Universal mapping'!$A:$A,0))</f>
        <v>VERB</v>
      </c>
      <c r="AC288" s="7">
        <f t="shared" si="50"/>
        <v>1</v>
      </c>
      <c r="AD288" s="7">
        <f t="shared" si="51"/>
        <v>1</v>
      </c>
      <c r="AF288" s="9" t="s">
        <v>101</v>
      </c>
      <c r="AG288" s="9" t="str">
        <f>INDEX('Brown tagset'!$B:$B,MATCH(IF(ISERROR(FIND("-",AF288)),IF(ISERROR(FIND("+",AF288)),AF288,LEFT(AF288,FIND("+",AF288)-1)),LEFT(AF288,FIND("-",AF288)-1)),'Brown tagset'!$A:$A,0))</f>
        <v>have</v>
      </c>
      <c r="AH288" s="9" t="s">
        <v>2</v>
      </c>
      <c r="AI288" s="9" t="str">
        <f>INDEX('Brown-Universal mapping'!$B:$B,MATCH(AF288,'Brown-Universal mapping'!$A:$A,0))</f>
        <v>VERB</v>
      </c>
      <c r="AJ288" s="9">
        <f t="shared" si="48"/>
        <v>1</v>
      </c>
      <c r="AK288" s="9">
        <f t="shared" si="49"/>
        <v>1</v>
      </c>
      <c r="AM288" s="6">
        <f t="shared" si="52"/>
        <v>3</v>
      </c>
      <c r="AN288" s="6">
        <f t="shared" si="53"/>
        <v>3</v>
      </c>
      <c r="AP288" s="6" t="str">
        <f t="shared" si="54"/>
        <v>have3</v>
      </c>
    </row>
    <row r="289" spans="1:42" x14ac:dyDescent="0.25">
      <c r="A289" s="4" t="s">
        <v>238</v>
      </c>
      <c r="D289" s="3" t="s">
        <v>127</v>
      </c>
      <c r="E289" s="3" t="str">
        <f>INDEX('Brown tagset'!$B:$B,MATCH(IF(ISERROR(FIND("-",D289)),IF(ISERROR(FIND("+",D289)),D289,LEFT(D289,FIND("+",D289)-1)),LEFT(D289,FIND("-",D289)-1)),'Brown tagset'!$A:$A,0))</f>
        <v>verb, past participle</v>
      </c>
      <c r="F289" s="3"/>
      <c r="G289" s="3" t="str">
        <f>INDEX('Brown-Universal mapping'!$B:$B,MATCH(D289,'Brown-Universal mapping'!$A:$A,0))</f>
        <v>VERB</v>
      </c>
      <c r="I289" s="5" t="s">
        <v>127</v>
      </c>
      <c r="J289" s="5" t="str">
        <f>INDEX('Brown tagset'!$B:$B,MATCH(IF(ISERROR(FIND("-",I289)),IF(ISERROR(FIND("+",I289)),I289,LEFT(I289,FIND("+",I289)-1)),LEFT(I289,FIND("-",I289)-1)),'Brown tagset'!$A:$A,0))</f>
        <v>verb, past participle</v>
      </c>
      <c r="K289" s="5" t="s">
        <v>10</v>
      </c>
      <c r="L289" s="5" t="str">
        <f>INDEX('Brown-Universal mapping'!$B:$B,MATCH(I289,'Brown-Universal mapping'!$A:$A,0))</f>
        <v>VERB</v>
      </c>
      <c r="M289" s="5">
        <f t="shared" si="44"/>
        <v>1</v>
      </c>
      <c r="N289" s="5">
        <f t="shared" si="45"/>
        <v>1</v>
      </c>
      <c r="P289" s="12" t="s">
        <v>238</v>
      </c>
      <c r="Q289" s="7" t="s">
        <v>328</v>
      </c>
      <c r="R289" s="7" t="str">
        <f>INDEX('Brown tagset'!$B:$B,MATCH(IF(ISERROR(FIND("-",Q289)),IF(ISERROR(FIND("+",Q289)),Q289,LEFT(Q289,FIND("+",Q289)-1)),LEFT(Q289,FIND("-",Q289)-1)),'Brown tagset'!$A:$A,0))</f>
        <v>verb, past participle</v>
      </c>
      <c r="S289" s="7"/>
      <c r="T289" s="7" t="str">
        <f>INDEX('Brown-Universal mapping'!$B:$B,MATCH(Q289,'Brown-Universal mapping'!$A:$A,0))</f>
        <v>VERB</v>
      </c>
      <c r="U289" s="7">
        <f t="shared" si="46"/>
        <v>1</v>
      </c>
      <c r="V289" s="7">
        <f t="shared" si="47"/>
        <v>1</v>
      </c>
      <c r="X289" s="12" t="s">
        <v>238</v>
      </c>
      <c r="Y289" s="7" t="s">
        <v>328</v>
      </c>
      <c r="Z289" s="7" t="str">
        <f>INDEX('Brown tagset'!$B:$B,MATCH(IF(ISERROR(FIND("-",Y289)),IF(ISERROR(FIND("+",Y289)),Y289,LEFT(Y289,FIND("+",Y289)-1)),LEFT(Y289,FIND("-",Y289)-1)),'Brown tagset'!$A:$A,0))</f>
        <v>verb, past participle</v>
      </c>
      <c r="AA289" s="7"/>
      <c r="AB289" s="7" t="str">
        <f>INDEX('Brown-Universal mapping'!$B:$B,MATCH(Y289,'Brown-Universal mapping'!$A:$A,0))</f>
        <v>VERB</v>
      </c>
      <c r="AC289" s="7">
        <f t="shared" si="50"/>
        <v>1</v>
      </c>
      <c r="AD289" s="7">
        <f t="shared" si="51"/>
        <v>1</v>
      </c>
      <c r="AF289" s="9" t="s">
        <v>127</v>
      </c>
      <c r="AG289" s="9" t="str">
        <f>INDEX('Brown tagset'!$B:$B,MATCH(IF(ISERROR(FIND("-",AF289)),IF(ISERROR(FIND("+",AF289)),AF289,LEFT(AF289,FIND("+",AF289)-1)),LEFT(AF289,FIND("-",AF289)-1)),'Brown tagset'!$A:$A,0))</f>
        <v>verb, past participle</v>
      </c>
      <c r="AH289" s="9" t="s">
        <v>10</v>
      </c>
      <c r="AI289" s="9" t="str">
        <f>INDEX('Brown-Universal mapping'!$B:$B,MATCH(AF289,'Brown-Universal mapping'!$A:$A,0))</f>
        <v>VERB</v>
      </c>
      <c r="AJ289" s="9">
        <f t="shared" si="48"/>
        <v>1</v>
      </c>
      <c r="AK289" s="9">
        <f t="shared" si="49"/>
        <v>1</v>
      </c>
      <c r="AM289" s="6">
        <f t="shared" si="52"/>
        <v>3</v>
      </c>
      <c r="AN289" s="6">
        <f t="shared" si="53"/>
        <v>3</v>
      </c>
      <c r="AP289" s="6" t="str">
        <f t="shared" si="54"/>
        <v>verb, past participle3</v>
      </c>
    </row>
    <row r="290" spans="1:42" x14ac:dyDescent="0.25">
      <c r="A290" s="4" t="s">
        <v>90</v>
      </c>
      <c r="D290" s="3" t="s">
        <v>7</v>
      </c>
      <c r="E290" s="3" t="str">
        <f>INDEX('Brown tagset'!$B:$B,MATCH(IF(ISERROR(FIND("-",D290)),IF(ISERROR(FIND("+",D290)),D290,LEFT(D290,FIND("+",D290)-1)),LEFT(D290,FIND("-",D290)-1)),'Brown tagset'!$A:$A,0))</f>
        <v>article (a, the, no)</v>
      </c>
      <c r="F290" s="3"/>
      <c r="G290" s="3" t="str">
        <f>INDEX('Brown-Universal mapping'!$B:$B,MATCH(D290,'Brown-Universal mapping'!$A:$A,0))</f>
        <v>DET</v>
      </c>
      <c r="I290" s="5" t="s">
        <v>7</v>
      </c>
      <c r="J290" s="5" t="str">
        <f>INDEX('Brown tagset'!$B:$B,MATCH(IF(ISERROR(FIND("-",I290)),IF(ISERROR(FIND("+",I290)),I290,LEFT(I290,FIND("+",I290)-1)),LEFT(I290,FIND("-",I290)-1)),'Brown tagset'!$A:$A,0))</f>
        <v>article (a, the, no)</v>
      </c>
      <c r="K290" s="5" t="s">
        <v>2</v>
      </c>
      <c r="L290" s="5" t="str">
        <f>INDEX('Brown-Universal mapping'!$B:$B,MATCH(I290,'Brown-Universal mapping'!$A:$A,0))</f>
        <v>DET</v>
      </c>
      <c r="M290" s="5">
        <f t="shared" si="44"/>
        <v>1</v>
      </c>
      <c r="N290" s="5">
        <f t="shared" si="45"/>
        <v>1</v>
      </c>
      <c r="P290" s="12" t="s">
        <v>90</v>
      </c>
      <c r="Q290" s="7" t="s">
        <v>89</v>
      </c>
      <c r="R290" s="7" t="str">
        <f>INDEX('Brown tagset'!$B:$B,MATCH(IF(ISERROR(FIND("-",Q290)),IF(ISERROR(FIND("+",Q290)),Q290,LEFT(Q290,FIND("+",Q290)-1)),LEFT(Q290,FIND("-",Q290)-1)),'Brown tagset'!$A:$A,0))</f>
        <v>article (a, the, no)</v>
      </c>
      <c r="S290" s="7"/>
      <c r="T290" s="7" t="str">
        <f>INDEX('Brown-Universal mapping'!$B:$B,MATCH(Q290,'Brown-Universal mapping'!$A:$A,0))</f>
        <v>DET</v>
      </c>
      <c r="U290" s="7">
        <f t="shared" si="46"/>
        <v>1</v>
      </c>
      <c r="V290" s="7">
        <f t="shared" si="47"/>
        <v>1</v>
      </c>
      <c r="X290" s="12" t="s">
        <v>90</v>
      </c>
      <c r="Y290" s="7" t="s">
        <v>89</v>
      </c>
      <c r="Z290" s="7" t="str">
        <f>INDEX('Brown tagset'!$B:$B,MATCH(IF(ISERROR(FIND("-",Y290)),IF(ISERROR(FIND("+",Y290)),Y290,LEFT(Y290,FIND("+",Y290)-1)),LEFT(Y290,FIND("-",Y290)-1)),'Brown tagset'!$A:$A,0))</f>
        <v>article (a, the, no)</v>
      </c>
      <c r="AA290" s="7"/>
      <c r="AB290" s="7" t="str">
        <f>INDEX('Brown-Universal mapping'!$B:$B,MATCH(Y290,'Brown-Universal mapping'!$A:$A,0))</f>
        <v>DET</v>
      </c>
      <c r="AC290" s="7">
        <f t="shared" si="50"/>
        <v>1</v>
      </c>
      <c r="AD290" s="7">
        <f t="shared" si="51"/>
        <v>1</v>
      </c>
      <c r="AF290" s="9" t="s">
        <v>7</v>
      </c>
      <c r="AG290" s="9" t="str">
        <f>INDEX('Brown tagset'!$B:$B,MATCH(IF(ISERROR(FIND("-",AF290)),IF(ISERROR(FIND("+",AF290)),AF290,LEFT(AF290,FIND("+",AF290)-1)),LEFT(AF290,FIND("-",AF290)-1)),'Brown tagset'!$A:$A,0))</f>
        <v>article (a, the, no)</v>
      </c>
      <c r="AH290" s="9" t="s">
        <v>2</v>
      </c>
      <c r="AI290" s="9" t="str">
        <f>INDEX('Brown-Universal mapping'!$B:$B,MATCH(AF290,'Brown-Universal mapping'!$A:$A,0))</f>
        <v>DET</v>
      </c>
      <c r="AJ290" s="9">
        <f t="shared" si="48"/>
        <v>1</v>
      </c>
      <c r="AK290" s="9">
        <f t="shared" si="49"/>
        <v>1</v>
      </c>
      <c r="AM290" s="6">
        <f t="shared" si="52"/>
        <v>3</v>
      </c>
      <c r="AN290" s="6">
        <f t="shared" si="53"/>
        <v>3</v>
      </c>
      <c r="AP290" s="6" t="str">
        <f t="shared" si="54"/>
        <v>article (a, the, no)3</v>
      </c>
    </row>
    <row r="291" spans="1:42" x14ac:dyDescent="0.25">
      <c r="A291" s="4" t="s">
        <v>239</v>
      </c>
      <c r="D291" s="3" t="s">
        <v>12</v>
      </c>
      <c r="E291" s="3" t="str">
        <f>INDEX('Brown tagset'!$B:$B,MATCH(IF(ISERROR(FIND("-",D291)),IF(ISERROR(FIND("+",D291)),D291,LEFT(D291,FIND("+",D291)-1)),LEFT(D291,FIND("-",D291)-1)),'Brown tagset'!$A:$A,0))</f>
        <v>singular or mass noun</v>
      </c>
      <c r="F291" s="3"/>
      <c r="G291" s="3" t="str">
        <f>INDEX('Brown-Universal mapping'!$B:$B,MATCH(D291,'Brown-Universal mapping'!$A:$A,0))</f>
        <v>NOUN</v>
      </c>
      <c r="I291" s="5" t="s">
        <v>12</v>
      </c>
      <c r="J291" s="5" t="str">
        <f>INDEX('Brown tagset'!$B:$B,MATCH(IF(ISERROR(FIND("-",I291)),IF(ISERROR(FIND("+",I291)),I291,LEFT(I291,FIND("+",I291)-1)),LEFT(I291,FIND("-",I291)-1)),'Brown tagset'!$A:$A,0))</f>
        <v>singular or mass noun</v>
      </c>
      <c r="K291" s="5" t="s">
        <v>13</v>
      </c>
      <c r="L291" s="5" t="str">
        <f>INDEX('Brown-Universal mapping'!$B:$B,MATCH(I291,'Brown-Universal mapping'!$A:$A,0))</f>
        <v>NOUN</v>
      </c>
      <c r="M291" s="5">
        <f t="shared" si="44"/>
        <v>1</v>
      </c>
      <c r="N291" s="5">
        <f t="shared" si="45"/>
        <v>1</v>
      </c>
      <c r="P291" s="12" t="s">
        <v>239</v>
      </c>
      <c r="Q291" s="7" t="s">
        <v>289</v>
      </c>
      <c r="R291" s="7" t="str">
        <f>INDEX('Brown tagset'!$B:$B,MATCH(IF(ISERROR(FIND("-",Q291)),IF(ISERROR(FIND("+",Q291)),Q291,LEFT(Q291,FIND("+",Q291)-1)),LEFT(Q291,FIND("-",Q291)-1)),'Brown tagset'!$A:$A,0))</f>
        <v>singular or mass noun</v>
      </c>
      <c r="S291" s="7"/>
      <c r="T291" s="7" t="str">
        <f>INDEX('Brown-Universal mapping'!$B:$B,MATCH(Q291,'Brown-Universal mapping'!$A:$A,0))</f>
        <v>NOUN</v>
      </c>
      <c r="U291" s="7">
        <f t="shared" si="46"/>
        <v>1</v>
      </c>
      <c r="V291" s="7">
        <f t="shared" si="47"/>
        <v>1</v>
      </c>
      <c r="X291" s="12" t="s">
        <v>239</v>
      </c>
      <c r="Y291" s="7" t="s">
        <v>289</v>
      </c>
      <c r="Z291" s="7" t="str">
        <f>INDEX('Brown tagset'!$B:$B,MATCH(IF(ISERROR(FIND("-",Y291)),IF(ISERROR(FIND("+",Y291)),Y291,LEFT(Y291,FIND("+",Y291)-1)),LEFT(Y291,FIND("-",Y291)-1)),'Brown tagset'!$A:$A,0))</f>
        <v>singular or mass noun</v>
      </c>
      <c r="AA291" s="7"/>
      <c r="AB291" s="7" t="str">
        <f>INDEX('Brown-Universal mapping'!$B:$B,MATCH(Y291,'Brown-Universal mapping'!$A:$A,0))</f>
        <v>NOUN</v>
      </c>
      <c r="AC291" s="7">
        <f t="shared" si="50"/>
        <v>1</v>
      </c>
      <c r="AD291" s="7">
        <f t="shared" si="51"/>
        <v>1</v>
      </c>
      <c r="AF291" s="9" t="s">
        <v>12</v>
      </c>
      <c r="AG291" s="9" t="str">
        <f>INDEX('Brown tagset'!$B:$B,MATCH(IF(ISERROR(FIND("-",AF291)),IF(ISERROR(FIND("+",AF291)),AF291,LEFT(AF291,FIND("+",AF291)-1)),LEFT(AF291,FIND("-",AF291)-1)),'Brown tagset'!$A:$A,0))</f>
        <v>singular or mass noun</v>
      </c>
      <c r="AH291" s="9" t="s">
        <v>13</v>
      </c>
      <c r="AI291" s="9" t="str">
        <f>INDEX('Brown-Universal mapping'!$B:$B,MATCH(AF291,'Brown-Universal mapping'!$A:$A,0))</f>
        <v>NOUN</v>
      </c>
      <c r="AJ291" s="9">
        <f t="shared" si="48"/>
        <v>1</v>
      </c>
      <c r="AK291" s="9">
        <f t="shared" si="49"/>
        <v>1</v>
      </c>
      <c r="AM291" s="6">
        <f t="shared" si="52"/>
        <v>3</v>
      </c>
      <c r="AN291" s="6">
        <f t="shared" si="53"/>
        <v>3</v>
      </c>
      <c r="AP291" s="6" t="str">
        <f t="shared" si="54"/>
        <v>singular or mass noun3</v>
      </c>
    </row>
    <row r="292" spans="1:42" x14ac:dyDescent="0.25">
      <c r="A292" s="4" t="s">
        <v>240</v>
      </c>
      <c r="D292" s="3" t="s">
        <v>31</v>
      </c>
      <c r="E292" s="3" t="str">
        <f>INDEX('Brown tagset'!$B:$B,MATCH(IF(ISERROR(FIND("-",D292)),IF(ISERROR(FIND("+",D292)),D292,LEFT(D292,FIND("+",D292)-1)),LEFT(D292,FIND("-",D292)-1)),'Brown tagset'!$A:$A,0))</f>
        <v>plural noun</v>
      </c>
      <c r="F292" s="3"/>
      <c r="G292" s="3" t="str">
        <f>INDEX('Brown-Universal mapping'!$B:$B,MATCH(D292,'Brown-Universal mapping'!$A:$A,0))</f>
        <v>NOUN</v>
      </c>
      <c r="I292" s="5" t="s">
        <v>31</v>
      </c>
      <c r="J292" s="5" t="str">
        <f>INDEX('Brown tagset'!$B:$B,MATCH(IF(ISERROR(FIND("-",I292)),IF(ISERROR(FIND("+",I292)),I292,LEFT(I292,FIND("+",I292)-1)),LEFT(I292,FIND("-",I292)-1)),'Brown tagset'!$A:$A,0))</f>
        <v>plural noun</v>
      </c>
      <c r="K292" s="5" t="s">
        <v>13</v>
      </c>
      <c r="L292" s="5" t="str">
        <f>INDEX('Brown-Universal mapping'!$B:$B,MATCH(I292,'Brown-Universal mapping'!$A:$A,0))</f>
        <v>NOUN</v>
      </c>
      <c r="M292" s="5">
        <f t="shared" si="44"/>
        <v>1</v>
      </c>
      <c r="N292" s="5">
        <f t="shared" si="45"/>
        <v>1</v>
      </c>
      <c r="P292" s="12" t="s">
        <v>240</v>
      </c>
      <c r="Q292" s="7" t="s">
        <v>295</v>
      </c>
      <c r="R292" s="7" t="str">
        <f>INDEX('Brown tagset'!$B:$B,MATCH(IF(ISERROR(FIND("-",Q292)),IF(ISERROR(FIND("+",Q292)),Q292,LEFT(Q292,FIND("+",Q292)-1)),LEFT(Q292,FIND("-",Q292)-1)),'Brown tagset'!$A:$A,0))</f>
        <v>plural noun</v>
      </c>
      <c r="S292" s="7"/>
      <c r="T292" s="7" t="str">
        <f>INDEX('Brown-Universal mapping'!$B:$B,MATCH(Q292,'Brown-Universal mapping'!$A:$A,0))</f>
        <v>NOUN</v>
      </c>
      <c r="U292" s="7">
        <f t="shared" si="46"/>
        <v>1</v>
      </c>
      <c r="V292" s="7">
        <f t="shared" si="47"/>
        <v>1</v>
      </c>
      <c r="X292" s="12" t="s">
        <v>240</v>
      </c>
      <c r="Y292" s="7" t="s">
        <v>295</v>
      </c>
      <c r="Z292" s="7" t="str">
        <f>INDEX('Brown tagset'!$B:$B,MATCH(IF(ISERROR(FIND("-",Y292)),IF(ISERROR(FIND("+",Y292)),Y292,LEFT(Y292,FIND("+",Y292)-1)),LEFT(Y292,FIND("-",Y292)-1)),'Brown tagset'!$A:$A,0))</f>
        <v>plural noun</v>
      </c>
      <c r="AA292" s="7"/>
      <c r="AB292" s="7" t="str">
        <f>INDEX('Brown-Universal mapping'!$B:$B,MATCH(Y292,'Brown-Universal mapping'!$A:$A,0))</f>
        <v>NOUN</v>
      </c>
      <c r="AC292" s="7">
        <f t="shared" si="50"/>
        <v>1</v>
      </c>
      <c r="AD292" s="7">
        <f t="shared" si="51"/>
        <v>1</v>
      </c>
      <c r="AF292" s="9" t="s">
        <v>31</v>
      </c>
      <c r="AG292" s="9" t="str">
        <f>INDEX('Brown tagset'!$B:$B,MATCH(IF(ISERROR(FIND("-",AF292)),IF(ISERROR(FIND("+",AF292)),AF292,LEFT(AF292,FIND("+",AF292)-1)),LEFT(AF292,FIND("-",AF292)-1)),'Brown tagset'!$A:$A,0))</f>
        <v>plural noun</v>
      </c>
      <c r="AH292" s="9" t="s">
        <v>13</v>
      </c>
      <c r="AI292" s="9" t="str">
        <f>INDEX('Brown-Universal mapping'!$B:$B,MATCH(AF292,'Brown-Universal mapping'!$A:$A,0))</f>
        <v>NOUN</v>
      </c>
      <c r="AJ292" s="9">
        <f t="shared" si="48"/>
        <v>1</v>
      </c>
      <c r="AK292" s="9">
        <f t="shared" si="49"/>
        <v>1</v>
      </c>
      <c r="AM292" s="6">
        <f t="shared" si="52"/>
        <v>3</v>
      </c>
      <c r="AN292" s="6">
        <f t="shared" si="53"/>
        <v>3</v>
      </c>
      <c r="AP292" s="6" t="str">
        <f t="shared" si="54"/>
        <v>plural noun3</v>
      </c>
    </row>
    <row r="293" spans="1:42" x14ac:dyDescent="0.25">
      <c r="A293" s="4" t="s">
        <v>81</v>
      </c>
      <c r="D293" s="3" t="s">
        <v>59</v>
      </c>
      <c r="E293" s="3" t="str">
        <f>INDEX('Brown tagset'!$B:$B,MATCH(IF(ISERROR(FIND("-",D293)),IF(ISERROR(FIND("+",D293)),D293,LEFT(D293,FIND("+",D293)-1)),LEFT(D293,FIND("-",D293)-1)),'Brown tagset'!$A:$A,0))</f>
        <v>preposition</v>
      </c>
      <c r="F293" s="3"/>
      <c r="G293" s="3" t="str">
        <f>INDEX('Brown-Universal mapping'!$B:$B,MATCH(D293,'Brown-Universal mapping'!$A:$A,0))</f>
        <v>ADP</v>
      </c>
      <c r="I293" s="5" t="s">
        <v>59</v>
      </c>
      <c r="J293" s="5" t="str">
        <f>INDEX('Brown tagset'!$B:$B,MATCH(IF(ISERROR(FIND("-",I293)),IF(ISERROR(FIND("+",I293)),I293,LEFT(I293,FIND("+",I293)-1)),LEFT(I293,FIND("-",I293)-1)),'Brown tagset'!$A:$A,0))</f>
        <v>preposition</v>
      </c>
      <c r="K293" s="5" t="s">
        <v>60</v>
      </c>
      <c r="L293" s="5" t="str">
        <f>INDEX('Brown-Universal mapping'!$B:$B,MATCH(I293,'Brown-Universal mapping'!$A:$A,0))</f>
        <v>ADP</v>
      </c>
      <c r="M293" s="5">
        <f t="shared" si="44"/>
        <v>1</v>
      </c>
      <c r="N293" s="5">
        <f t="shared" si="45"/>
        <v>1</v>
      </c>
      <c r="P293" s="12" t="s">
        <v>81</v>
      </c>
      <c r="Q293" s="7" t="s">
        <v>124</v>
      </c>
      <c r="R293" s="7" t="str">
        <f>INDEX('Brown tagset'!$B:$B,MATCH(IF(ISERROR(FIND("-",Q293)),IF(ISERROR(FIND("+",Q293)),Q293,LEFT(Q293,FIND("+",Q293)-1)),LEFT(Q293,FIND("-",Q293)-1)),'Brown tagset'!$A:$A,0))</f>
        <v>preposition</v>
      </c>
      <c r="S293" s="7"/>
      <c r="T293" s="7" t="str">
        <f>INDEX('Brown-Universal mapping'!$B:$B,MATCH(Q293,'Brown-Universal mapping'!$A:$A,0))</f>
        <v>ADP</v>
      </c>
      <c r="U293" s="7">
        <f t="shared" si="46"/>
        <v>1</v>
      </c>
      <c r="V293" s="7">
        <f t="shared" si="47"/>
        <v>1</v>
      </c>
      <c r="X293" s="12" t="s">
        <v>81</v>
      </c>
      <c r="Y293" s="7" t="s">
        <v>124</v>
      </c>
      <c r="Z293" s="7" t="str">
        <f>INDEX('Brown tagset'!$B:$B,MATCH(IF(ISERROR(FIND("-",Y293)),IF(ISERROR(FIND("+",Y293)),Y293,LEFT(Y293,FIND("+",Y293)-1)),LEFT(Y293,FIND("-",Y293)-1)),'Brown tagset'!$A:$A,0))</f>
        <v>preposition</v>
      </c>
      <c r="AA293" s="7"/>
      <c r="AB293" s="7" t="str">
        <f>INDEX('Brown-Universal mapping'!$B:$B,MATCH(Y293,'Brown-Universal mapping'!$A:$A,0))</f>
        <v>ADP</v>
      </c>
      <c r="AC293" s="7">
        <f t="shared" si="50"/>
        <v>1</v>
      </c>
      <c r="AD293" s="7">
        <f t="shared" si="51"/>
        <v>1</v>
      </c>
      <c r="AF293" s="9" t="s">
        <v>59</v>
      </c>
      <c r="AG293" s="9" t="str">
        <f>INDEX('Brown tagset'!$B:$B,MATCH(IF(ISERROR(FIND("-",AF293)),IF(ISERROR(FIND("+",AF293)),AF293,LEFT(AF293,FIND("+",AF293)-1)),LEFT(AF293,FIND("-",AF293)-1)),'Brown tagset'!$A:$A,0))</f>
        <v>preposition</v>
      </c>
      <c r="AH293" s="9" t="s">
        <v>60</v>
      </c>
      <c r="AI293" s="9" t="str">
        <f>INDEX('Brown-Universal mapping'!$B:$B,MATCH(AF293,'Brown-Universal mapping'!$A:$A,0))</f>
        <v>ADP</v>
      </c>
      <c r="AJ293" s="9">
        <f t="shared" si="48"/>
        <v>1</v>
      </c>
      <c r="AK293" s="9">
        <f t="shared" si="49"/>
        <v>1</v>
      </c>
      <c r="AM293" s="6">
        <f t="shared" si="52"/>
        <v>3</v>
      </c>
      <c r="AN293" s="6">
        <f t="shared" si="53"/>
        <v>3</v>
      </c>
      <c r="AP293" s="6" t="str">
        <f t="shared" si="54"/>
        <v>preposition3</v>
      </c>
    </row>
    <row r="294" spans="1:42" x14ac:dyDescent="0.25">
      <c r="A294" s="4" t="s">
        <v>241</v>
      </c>
      <c r="D294" s="3" t="s">
        <v>242</v>
      </c>
      <c r="E294" s="3" t="str">
        <f>INDEX('Brown tagset'!$B:$B,MATCH(IF(ISERROR(FIND("-",D294)),IF(ISERROR(FIND("+",D294)),D294,LEFT(D294,FIND("+",D294)-1)),LEFT(D294,FIND("-",D294)-1)),'Brown tagset'!$A:$A,0))</f>
        <v>singular or plural determiner/quantifier (some, any)</v>
      </c>
      <c r="F294" s="3"/>
      <c r="G294" s="3" t="str">
        <f>INDEX('Brown-Universal mapping'!$B:$B,MATCH(D294,'Brown-Universal mapping'!$A:$A,0))</f>
        <v>DET</v>
      </c>
      <c r="I294" s="5" t="s">
        <v>242</v>
      </c>
      <c r="J294" s="5" t="str">
        <f>INDEX('Brown tagset'!$B:$B,MATCH(IF(ISERROR(FIND("-",I294)),IF(ISERROR(FIND("+",I294)),I294,LEFT(I294,FIND("+",I294)-1)),LEFT(I294,FIND("-",I294)-1)),'Brown tagset'!$A:$A,0))</f>
        <v>singular or plural determiner/quantifier (some, any)</v>
      </c>
      <c r="K294" s="5" t="s">
        <v>2</v>
      </c>
      <c r="L294" s="5" t="str">
        <f>INDEX('Brown-Universal mapping'!$B:$B,MATCH(I294,'Brown-Universal mapping'!$A:$A,0))</f>
        <v>DET</v>
      </c>
      <c r="M294" s="5">
        <f t="shared" si="44"/>
        <v>1</v>
      </c>
      <c r="N294" s="5">
        <f t="shared" si="45"/>
        <v>1</v>
      </c>
      <c r="P294" s="12" t="s">
        <v>241</v>
      </c>
      <c r="Q294" s="7" t="s">
        <v>333</v>
      </c>
      <c r="R294" s="7" t="str">
        <f>INDEX('Brown tagset'!$B:$B,MATCH(IF(ISERROR(FIND("-",Q294)),IF(ISERROR(FIND("+",Q294)),Q294,LEFT(Q294,FIND("+",Q294)-1)),LEFT(Q294,FIND("-",Q294)-1)),'Brown tagset'!$A:$A,0))</f>
        <v>singular or plural determiner/quantifier (some, any)</v>
      </c>
      <c r="S294" s="7"/>
      <c r="T294" s="7" t="str">
        <f>INDEX('Brown-Universal mapping'!$B:$B,MATCH(Q294,'Brown-Universal mapping'!$A:$A,0))</f>
        <v>DET</v>
      </c>
      <c r="U294" s="7">
        <f t="shared" si="46"/>
        <v>1</v>
      </c>
      <c r="V294" s="7">
        <f t="shared" si="47"/>
        <v>1</v>
      </c>
      <c r="X294" s="12" t="s">
        <v>241</v>
      </c>
      <c r="Y294" s="7" t="s">
        <v>333</v>
      </c>
      <c r="Z294" s="7" t="str">
        <f>INDEX('Brown tagset'!$B:$B,MATCH(IF(ISERROR(FIND("-",Y294)),IF(ISERROR(FIND("+",Y294)),Y294,LEFT(Y294,FIND("+",Y294)-1)),LEFT(Y294,FIND("-",Y294)-1)),'Brown tagset'!$A:$A,0))</f>
        <v>singular or plural determiner/quantifier (some, any)</v>
      </c>
      <c r="AA294" s="7"/>
      <c r="AB294" s="7" t="str">
        <f>INDEX('Brown-Universal mapping'!$B:$B,MATCH(Y294,'Brown-Universal mapping'!$A:$A,0))</f>
        <v>DET</v>
      </c>
      <c r="AC294" s="7">
        <f t="shared" si="50"/>
        <v>1</v>
      </c>
      <c r="AD294" s="7">
        <f t="shared" si="51"/>
        <v>1</v>
      </c>
      <c r="AF294" s="9" t="s">
        <v>242</v>
      </c>
      <c r="AG294" s="9" t="str">
        <f>INDEX('Brown tagset'!$B:$B,MATCH(IF(ISERROR(FIND("-",AF294)),IF(ISERROR(FIND("+",AF294)),AF294,LEFT(AF294,FIND("+",AF294)-1)),LEFT(AF294,FIND("-",AF294)-1)),'Brown tagset'!$A:$A,0))</f>
        <v>singular or plural determiner/quantifier (some, any)</v>
      </c>
      <c r="AH294" s="9" t="s">
        <v>2</v>
      </c>
      <c r="AI294" s="9" t="str">
        <f>INDEX('Brown-Universal mapping'!$B:$B,MATCH(AF294,'Brown-Universal mapping'!$A:$A,0))</f>
        <v>DET</v>
      </c>
      <c r="AJ294" s="9">
        <f t="shared" si="48"/>
        <v>1</v>
      </c>
      <c r="AK294" s="9">
        <f t="shared" si="49"/>
        <v>1</v>
      </c>
      <c r="AM294" s="6">
        <f t="shared" si="52"/>
        <v>3</v>
      </c>
      <c r="AN294" s="6">
        <f t="shared" si="53"/>
        <v>3</v>
      </c>
      <c r="AP294" s="6" t="str">
        <f t="shared" si="54"/>
        <v>singular or plural determiner/quantifier (some, any)3</v>
      </c>
    </row>
    <row r="295" spans="1:42" x14ac:dyDescent="0.25">
      <c r="A295" s="4" t="s">
        <v>81</v>
      </c>
      <c r="D295" s="3" t="s">
        <v>59</v>
      </c>
      <c r="E295" s="3" t="str">
        <f>INDEX('Brown tagset'!$B:$B,MATCH(IF(ISERROR(FIND("-",D295)),IF(ISERROR(FIND("+",D295)),D295,LEFT(D295,FIND("+",D295)-1)),LEFT(D295,FIND("-",D295)-1)),'Brown tagset'!$A:$A,0))</f>
        <v>preposition</v>
      </c>
      <c r="F295" s="3"/>
      <c r="G295" s="3" t="str">
        <f>INDEX('Brown-Universal mapping'!$B:$B,MATCH(D295,'Brown-Universal mapping'!$A:$A,0))</f>
        <v>ADP</v>
      </c>
      <c r="I295" s="5" t="s">
        <v>59</v>
      </c>
      <c r="J295" s="5" t="str">
        <f>INDEX('Brown tagset'!$B:$B,MATCH(IF(ISERROR(FIND("-",I295)),IF(ISERROR(FIND("+",I295)),I295,LEFT(I295,FIND("+",I295)-1)),LEFT(I295,FIND("-",I295)-1)),'Brown tagset'!$A:$A,0))</f>
        <v>preposition</v>
      </c>
      <c r="K295" s="5" t="s">
        <v>60</v>
      </c>
      <c r="L295" s="5" t="str">
        <f>INDEX('Brown-Universal mapping'!$B:$B,MATCH(I295,'Brown-Universal mapping'!$A:$A,0))</f>
        <v>ADP</v>
      </c>
      <c r="M295" s="5">
        <f t="shared" si="44"/>
        <v>1</v>
      </c>
      <c r="N295" s="5">
        <f t="shared" si="45"/>
        <v>1</v>
      </c>
      <c r="P295" s="12" t="s">
        <v>81</v>
      </c>
      <c r="Q295" s="7" t="s">
        <v>124</v>
      </c>
      <c r="R295" s="7" t="str">
        <f>INDEX('Brown tagset'!$B:$B,MATCH(IF(ISERROR(FIND("-",Q295)),IF(ISERROR(FIND("+",Q295)),Q295,LEFT(Q295,FIND("+",Q295)-1)),LEFT(Q295,FIND("-",Q295)-1)),'Brown tagset'!$A:$A,0))</f>
        <v>preposition</v>
      </c>
      <c r="S295" s="7"/>
      <c r="T295" s="7" t="str">
        <f>INDEX('Brown-Universal mapping'!$B:$B,MATCH(Q295,'Brown-Universal mapping'!$A:$A,0))</f>
        <v>ADP</v>
      </c>
      <c r="U295" s="7">
        <f t="shared" si="46"/>
        <v>1</v>
      </c>
      <c r="V295" s="7">
        <f t="shared" si="47"/>
        <v>1</v>
      </c>
      <c r="X295" s="12" t="s">
        <v>81</v>
      </c>
      <c r="Y295" s="7" t="s">
        <v>124</v>
      </c>
      <c r="Z295" s="7" t="str">
        <f>INDEX('Brown tagset'!$B:$B,MATCH(IF(ISERROR(FIND("-",Y295)),IF(ISERROR(FIND("+",Y295)),Y295,LEFT(Y295,FIND("+",Y295)-1)),LEFT(Y295,FIND("-",Y295)-1)),'Brown tagset'!$A:$A,0))</f>
        <v>preposition</v>
      </c>
      <c r="AA295" s="7"/>
      <c r="AB295" s="7" t="str">
        <f>INDEX('Brown-Universal mapping'!$B:$B,MATCH(Y295,'Brown-Universal mapping'!$A:$A,0))</f>
        <v>ADP</v>
      </c>
      <c r="AC295" s="7">
        <f t="shared" si="50"/>
        <v>1</v>
      </c>
      <c r="AD295" s="7">
        <f t="shared" si="51"/>
        <v>1</v>
      </c>
      <c r="AF295" s="9" t="s">
        <v>59</v>
      </c>
      <c r="AG295" s="9" t="str">
        <f>INDEX('Brown tagset'!$B:$B,MATCH(IF(ISERROR(FIND("-",AF295)),IF(ISERROR(FIND("+",AF295)),AF295,LEFT(AF295,FIND("+",AF295)-1)),LEFT(AF295,FIND("-",AF295)-1)),'Brown tagset'!$A:$A,0))</f>
        <v>preposition</v>
      </c>
      <c r="AH295" s="9" t="s">
        <v>60</v>
      </c>
      <c r="AI295" s="9" t="str">
        <f>INDEX('Brown-Universal mapping'!$B:$B,MATCH(AF295,'Brown-Universal mapping'!$A:$A,0))</f>
        <v>ADP</v>
      </c>
      <c r="AJ295" s="9">
        <f t="shared" si="48"/>
        <v>1</v>
      </c>
      <c r="AK295" s="9">
        <f t="shared" si="49"/>
        <v>1</v>
      </c>
      <c r="AM295" s="6">
        <f t="shared" si="52"/>
        <v>3</v>
      </c>
      <c r="AN295" s="6">
        <f t="shared" si="53"/>
        <v>3</v>
      </c>
      <c r="AP295" s="6" t="str">
        <f t="shared" si="54"/>
        <v>preposition3</v>
      </c>
    </row>
    <row r="296" spans="1:42" x14ac:dyDescent="0.25">
      <c r="A296" s="4" t="s">
        <v>21</v>
      </c>
      <c r="D296" s="3" t="s">
        <v>22</v>
      </c>
      <c r="E296" s="3" t="str">
        <f>INDEX('Brown tagset'!$B:$B,MATCH(IF(ISERROR(FIND("-",D296)),IF(ISERROR(FIND("+",D296)),D296,LEFT(D296,FIND("+",D296)-1)),LEFT(D296,FIND("-",D296)-1)),'Brown tagset'!$A:$A,0))</f>
        <v>possessive personal pronoun (my, our)</v>
      </c>
      <c r="F296" s="3"/>
      <c r="G296" s="3" t="str">
        <f>INDEX('Brown-Universal mapping'!$B:$B,MATCH(D296,'Brown-Universal mapping'!$A:$A,0))</f>
        <v>DET</v>
      </c>
      <c r="I296" s="5" t="s">
        <v>22</v>
      </c>
      <c r="J296" s="5" t="str">
        <f>INDEX('Brown tagset'!$B:$B,MATCH(IF(ISERROR(FIND("-",I296)),IF(ISERROR(FIND("+",I296)),I296,LEFT(I296,FIND("+",I296)-1)),LEFT(I296,FIND("-",I296)-1)),'Brown tagset'!$A:$A,0))</f>
        <v>possessive personal pronoun (my, our)</v>
      </c>
      <c r="K296" s="5" t="s">
        <v>2</v>
      </c>
      <c r="L296" s="5" t="str">
        <f>INDEX('Brown-Universal mapping'!$B:$B,MATCH(I296,'Brown-Universal mapping'!$A:$A,0))</f>
        <v>DET</v>
      </c>
      <c r="M296" s="5">
        <f t="shared" si="44"/>
        <v>1</v>
      </c>
      <c r="N296" s="5">
        <f t="shared" si="45"/>
        <v>1</v>
      </c>
      <c r="P296" s="12" t="s">
        <v>21</v>
      </c>
      <c r="Q296" s="7" t="s">
        <v>291</v>
      </c>
      <c r="R296" s="7" t="str">
        <f>INDEX('Brown tagset'!$B:$B,MATCH(IF(ISERROR(FIND("-",Q296)),IF(ISERROR(FIND("+",Q296)),Q296,LEFT(Q296,FIND("+",Q296)-1)),LEFT(Q296,FIND("-",Q296)-1)),'Brown tagset'!$A:$A,0))</f>
        <v>possessive personal pronoun (my, our)</v>
      </c>
      <c r="S296" s="7"/>
      <c r="T296" s="7" t="str">
        <f>INDEX('Brown-Universal mapping'!$B:$B,MATCH(Q296,'Brown-Universal mapping'!$A:$A,0))</f>
        <v>DET</v>
      </c>
      <c r="U296" s="7">
        <f t="shared" si="46"/>
        <v>1</v>
      </c>
      <c r="V296" s="7">
        <f t="shared" si="47"/>
        <v>1</v>
      </c>
      <c r="X296" s="12" t="s">
        <v>21</v>
      </c>
      <c r="Y296" s="7" t="s">
        <v>291</v>
      </c>
      <c r="Z296" s="7" t="str">
        <f>INDEX('Brown tagset'!$B:$B,MATCH(IF(ISERROR(FIND("-",Y296)),IF(ISERROR(FIND("+",Y296)),Y296,LEFT(Y296,FIND("+",Y296)-1)),LEFT(Y296,FIND("-",Y296)-1)),'Brown tagset'!$A:$A,0))</f>
        <v>possessive personal pronoun (my, our)</v>
      </c>
      <c r="AA296" s="7"/>
      <c r="AB296" s="7" t="str">
        <f>INDEX('Brown-Universal mapping'!$B:$B,MATCH(Y296,'Brown-Universal mapping'!$A:$A,0))</f>
        <v>DET</v>
      </c>
      <c r="AC296" s="7">
        <f t="shared" si="50"/>
        <v>1</v>
      </c>
      <c r="AD296" s="7">
        <f t="shared" si="51"/>
        <v>1</v>
      </c>
      <c r="AF296" s="9" t="s">
        <v>22</v>
      </c>
      <c r="AG296" s="9" t="str">
        <f>INDEX('Brown tagset'!$B:$B,MATCH(IF(ISERROR(FIND("-",AF296)),IF(ISERROR(FIND("+",AF296)),AF296,LEFT(AF296,FIND("+",AF296)-1)),LEFT(AF296,FIND("-",AF296)-1)),'Brown tagset'!$A:$A,0))</f>
        <v>possessive personal pronoun (my, our)</v>
      </c>
      <c r="AH296" s="9" t="s">
        <v>2</v>
      </c>
      <c r="AI296" s="9" t="str">
        <f>INDEX('Brown-Universal mapping'!$B:$B,MATCH(AF296,'Brown-Universal mapping'!$A:$A,0))</f>
        <v>DET</v>
      </c>
      <c r="AJ296" s="9">
        <f t="shared" si="48"/>
        <v>1</v>
      </c>
      <c r="AK296" s="9">
        <f t="shared" si="49"/>
        <v>1</v>
      </c>
      <c r="AM296" s="6">
        <f t="shared" si="52"/>
        <v>3</v>
      </c>
      <c r="AN296" s="6">
        <f t="shared" si="53"/>
        <v>3</v>
      </c>
      <c r="AP296" s="6" t="str">
        <f t="shared" si="54"/>
        <v>possessive personal pronoun (my, our)3</v>
      </c>
    </row>
    <row r="297" spans="1:42" x14ac:dyDescent="0.25">
      <c r="A297" s="27" t="s">
        <v>243</v>
      </c>
      <c r="B297" s="27"/>
      <c r="D297" s="3" t="s">
        <v>45</v>
      </c>
      <c r="E297" s="3" t="str">
        <f>INDEX('Brown tagset'!$B:$B,MATCH(IF(ISERROR(FIND("-",D297)),IF(ISERROR(FIND("+",D297)),D297,LEFT(D297,FIND("+",D297)-1)),LEFT(D297,FIND("-",D297)-1)),'Brown tagset'!$A:$A,0))</f>
        <v>adjective</v>
      </c>
      <c r="F297" s="3"/>
      <c r="G297" s="3" t="str">
        <f>INDEX('Brown-Universal mapping'!$B:$B,MATCH(D297,'Brown-Universal mapping'!$A:$A,0))</f>
        <v>ADJ</v>
      </c>
      <c r="I297" s="5" t="s">
        <v>45</v>
      </c>
      <c r="J297" s="5" t="str">
        <f>INDEX('Brown tagset'!$B:$B,MATCH(IF(ISERROR(FIND("-",I297)),IF(ISERROR(FIND("+",I297)),I297,LEFT(I297,FIND("+",I297)-1)),LEFT(I297,FIND("-",I297)-1)),'Brown tagset'!$A:$A,0))</f>
        <v>adjective</v>
      </c>
      <c r="K297" s="5" t="s">
        <v>46</v>
      </c>
      <c r="L297" s="5" t="str">
        <f>INDEX('Brown-Universal mapping'!$B:$B,MATCH(I297,'Brown-Universal mapping'!$A:$A,0))</f>
        <v>ADJ</v>
      </c>
      <c r="M297" s="5">
        <f t="shared" si="44"/>
        <v>1</v>
      </c>
      <c r="N297" s="5">
        <f t="shared" si="45"/>
        <v>1</v>
      </c>
      <c r="P297" s="12" t="s">
        <v>243</v>
      </c>
      <c r="Q297" s="7" t="s">
        <v>292</v>
      </c>
      <c r="R297" s="7" t="str">
        <f>INDEX('Brown tagset'!$B:$B,MATCH(IF(ISERROR(FIND("-",Q297)),IF(ISERROR(FIND("+",Q297)),Q297,LEFT(Q297,FIND("+",Q297)-1)),LEFT(Q297,FIND("-",Q297)-1)),'Brown tagset'!$A:$A,0))</f>
        <v>verb, present participle/gerund</v>
      </c>
      <c r="S297" s="7"/>
      <c r="T297" s="7" t="str">
        <f>INDEX('Brown-Universal mapping'!$B:$B,MATCH(Q297,'Brown-Universal mapping'!$A:$A,0))</f>
        <v>VERB</v>
      </c>
      <c r="U297" s="7">
        <f t="shared" si="46"/>
        <v>0</v>
      </c>
      <c r="V297" s="7">
        <f t="shared" si="47"/>
        <v>0</v>
      </c>
      <c r="X297" s="12" t="s">
        <v>243</v>
      </c>
      <c r="Y297" s="7" t="s">
        <v>289</v>
      </c>
      <c r="Z297" s="7" t="str">
        <f>INDEX('Brown tagset'!$B:$B,MATCH(IF(ISERROR(FIND("-",Y297)),IF(ISERROR(FIND("+",Y297)),Y297,LEFT(Y297,FIND("+",Y297)-1)),LEFT(Y297,FIND("-",Y297)-1)),'Brown tagset'!$A:$A,0))</f>
        <v>singular or mass noun</v>
      </c>
      <c r="AA297" s="7"/>
      <c r="AB297" s="7" t="str">
        <f>INDEX('Brown-Universal mapping'!$B:$B,MATCH(Y297,'Brown-Universal mapping'!$A:$A,0))</f>
        <v>NOUN</v>
      </c>
      <c r="AC297" s="7">
        <f t="shared" si="50"/>
        <v>0</v>
      </c>
      <c r="AD297" s="7">
        <f t="shared" si="51"/>
        <v>0</v>
      </c>
      <c r="AF297" s="9" t="s">
        <v>340</v>
      </c>
      <c r="AG297" s="9" t="str">
        <f>INDEX('Brown tagset'!$B:$B,MATCH(IF(ISERROR(FIND("-",AF297)),IF(ISERROR(FIND("+",AF297)),AF297,LEFT(AF297,FIND("+",AF297)-1)),LEFT(AF297,FIND("-",AF297)-1)),'Brown tagset'!$A:$A,0))</f>
        <v>unknown</v>
      </c>
      <c r="AH297" s="9" t="s">
        <v>2</v>
      </c>
      <c r="AI297" s="9" t="str">
        <f>INDEX('Brown-Universal mapping'!$B:$B,MATCH(AF297,'Brown-Universal mapping'!$A:$A,0))</f>
        <v>Unknown</v>
      </c>
      <c r="AJ297" s="9">
        <f t="shared" si="48"/>
        <v>0</v>
      </c>
      <c r="AK297" s="9">
        <f t="shared" si="49"/>
        <v>0</v>
      </c>
      <c r="AM297" s="6">
        <f t="shared" si="52"/>
        <v>1</v>
      </c>
      <c r="AN297" s="6">
        <f t="shared" si="53"/>
        <v>1</v>
      </c>
      <c r="AP297" s="6" t="str">
        <f t="shared" si="54"/>
        <v>unknown1</v>
      </c>
    </row>
    <row r="298" spans="1:42" x14ac:dyDescent="0.25">
      <c r="A298" s="4" t="s">
        <v>244</v>
      </c>
      <c r="D298" s="3" t="s">
        <v>31</v>
      </c>
      <c r="E298" s="3" t="str">
        <f>INDEX('Brown tagset'!$B:$B,MATCH(IF(ISERROR(FIND("-",D298)),IF(ISERROR(FIND("+",D298)),D298,LEFT(D298,FIND("+",D298)-1)),LEFT(D298,FIND("-",D298)-1)),'Brown tagset'!$A:$A,0))</f>
        <v>plural noun</v>
      </c>
      <c r="F298" s="3"/>
      <c r="G298" s="3" t="str">
        <f>INDEX('Brown-Universal mapping'!$B:$B,MATCH(D298,'Brown-Universal mapping'!$A:$A,0))</f>
        <v>NOUN</v>
      </c>
      <c r="I298" s="5" t="s">
        <v>31</v>
      </c>
      <c r="J298" s="5" t="str">
        <f>INDEX('Brown tagset'!$B:$B,MATCH(IF(ISERROR(FIND("-",I298)),IF(ISERROR(FIND("+",I298)),I298,LEFT(I298,FIND("+",I298)-1)),LEFT(I298,FIND("-",I298)-1)),'Brown tagset'!$A:$A,0))</f>
        <v>plural noun</v>
      </c>
      <c r="K298" s="5" t="s">
        <v>13</v>
      </c>
      <c r="L298" s="5" t="str">
        <f>INDEX('Brown-Universal mapping'!$B:$B,MATCH(I298,'Brown-Universal mapping'!$A:$A,0))</f>
        <v>NOUN</v>
      </c>
      <c r="M298" s="5">
        <f t="shared" si="44"/>
        <v>1</v>
      </c>
      <c r="N298" s="5">
        <f t="shared" si="45"/>
        <v>1</v>
      </c>
      <c r="P298" s="12" t="s">
        <v>244</v>
      </c>
      <c r="Q298" s="7" t="s">
        <v>295</v>
      </c>
      <c r="R298" s="7" t="str">
        <f>INDEX('Brown tagset'!$B:$B,MATCH(IF(ISERROR(FIND("-",Q298)),IF(ISERROR(FIND("+",Q298)),Q298,LEFT(Q298,FIND("+",Q298)-1)),LEFT(Q298,FIND("-",Q298)-1)),'Brown tagset'!$A:$A,0))</f>
        <v>plural noun</v>
      </c>
      <c r="S298" s="7"/>
      <c r="T298" s="7" t="str">
        <f>INDEX('Brown-Universal mapping'!$B:$B,MATCH(Q298,'Brown-Universal mapping'!$A:$A,0))</f>
        <v>NOUN</v>
      </c>
      <c r="U298" s="7">
        <f t="shared" si="46"/>
        <v>1</v>
      </c>
      <c r="V298" s="7">
        <f t="shared" si="47"/>
        <v>1</v>
      </c>
      <c r="X298" s="12" t="s">
        <v>244</v>
      </c>
      <c r="Y298" s="7" t="s">
        <v>295</v>
      </c>
      <c r="Z298" s="7" t="str">
        <f>INDEX('Brown tagset'!$B:$B,MATCH(IF(ISERROR(FIND("-",Y298)),IF(ISERROR(FIND("+",Y298)),Y298,LEFT(Y298,FIND("+",Y298)-1)),LEFT(Y298,FIND("-",Y298)-1)),'Brown tagset'!$A:$A,0))</f>
        <v>plural noun</v>
      </c>
      <c r="AA298" s="7"/>
      <c r="AB298" s="7" t="str">
        <f>INDEX('Brown-Universal mapping'!$B:$B,MATCH(Y298,'Brown-Universal mapping'!$A:$A,0))</f>
        <v>NOUN</v>
      </c>
      <c r="AC298" s="7">
        <f t="shared" si="50"/>
        <v>1</v>
      </c>
      <c r="AD298" s="7">
        <f t="shared" si="51"/>
        <v>1</v>
      </c>
      <c r="AF298" s="9" t="s">
        <v>31</v>
      </c>
      <c r="AG298" s="9" t="str">
        <f>INDEX('Brown tagset'!$B:$B,MATCH(IF(ISERROR(FIND("-",AF298)),IF(ISERROR(FIND("+",AF298)),AF298,LEFT(AF298,FIND("+",AF298)-1)),LEFT(AF298,FIND("-",AF298)-1)),'Brown tagset'!$A:$A,0))</f>
        <v>plural noun</v>
      </c>
      <c r="AH298" s="9" t="s">
        <v>13</v>
      </c>
      <c r="AI298" s="9" t="str">
        <f>INDEX('Brown-Universal mapping'!$B:$B,MATCH(AF298,'Brown-Universal mapping'!$A:$A,0))</f>
        <v>NOUN</v>
      </c>
      <c r="AJ298" s="9">
        <f t="shared" si="48"/>
        <v>1</v>
      </c>
      <c r="AK298" s="9">
        <f t="shared" si="49"/>
        <v>1</v>
      </c>
      <c r="AM298" s="6">
        <f t="shared" si="52"/>
        <v>3</v>
      </c>
      <c r="AN298" s="6">
        <f t="shared" si="53"/>
        <v>3</v>
      </c>
      <c r="AP298" s="6" t="str">
        <f t="shared" si="54"/>
        <v>plural noun3</v>
      </c>
    </row>
    <row r="299" spans="1:42" x14ac:dyDescent="0.25">
      <c r="A299" s="4" t="s">
        <v>80</v>
      </c>
      <c r="D299" s="3" t="s">
        <v>80</v>
      </c>
      <c r="E299" s="3" t="str">
        <f>INDEX('Brown tagset'!$B:$B,MATCH(IF(ISERROR(FIND("-",D299)),IF(ISERROR(FIND("+",D299)),D299,LEFT(D299,FIND("+",D299)-1)),LEFT(D299,FIND("-",D299)-1)),'Brown tagset'!$A:$A,0))</f>
        <v>left paren</v>
      </c>
      <c r="F299" s="3"/>
      <c r="G299" s="3" t="str">
        <f>INDEX('Brown-Universal mapping'!$B:$B,MATCH(D299,'Brown-Universal mapping'!$A:$A,0))</f>
        <v>.</v>
      </c>
      <c r="I299" s="5" t="s">
        <v>80</v>
      </c>
      <c r="J299" s="5" t="str">
        <f>INDEX('Brown tagset'!$B:$B,MATCH(IF(ISERROR(FIND("-",I299)),IF(ISERROR(FIND("+",I299)),I299,LEFT(I299,FIND("+",I299)-1)),LEFT(I299,FIND("-",I299)-1)),'Brown tagset'!$A:$A,0))</f>
        <v>left paren</v>
      </c>
      <c r="K299" s="5" t="s">
        <v>38</v>
      </c>
      <c r="L299" s="5" t="str">
        <f>INDEX('Brown-Universal mapping'!$B:$B,MATCH(I299,'Brown-Universal mapping'!$A:$A,0))</f>
        <v>.</v>
      </c>
      <c r="M299" s="5">
        <f t="shared" si="44"/>
        <v>1</v>
      </c>
      <c r="N299" s="5">
        <f t="shared" si="45"/>
        <v>1</v>
      </c>
      <c r="P299" s="12" t="s">
        <v>304</v>
      </c>
      <c r="Q299" s="7" t="s">
        <v>305</v>
      </c>
      <c r="R299" s="7" t="str">
        <f>INDEX('Brown tagset'!$B:$B,MATCH(IF(ISERROR(FIND("-",Q299)),IF(ISERROR(FIND("+",Q299)),Q299,LEFT(Q299,FIND("+",Q299)-1)),LEFT(Q299,FIND("-",Q299)-1)),'Brown tagset'!$A:$A,0))</f>
        <v>cardinal numeral (one, two, 2, etc.)</v>
      </c>
      <c r="S299" s="7"/>
      <c r="T299" s="7" t="str">
        <f>INDEX('Brown-Universal mapping'!$B:$B,MATCH(Q299,'Brown-Universal mapping'!$A:$A,0))</f>
        <v>NUM</v>
      </c>
      <c r="U299" s="7">
        <f t="shared" si="46"/>
        <v>0</v>
      </c>
      <c r="V299" s="7">
        <f t="shared" si="47"/>
        <v>0</v>
      </c>
      <c r="X299" s="12" t="s">
        <v>80</v>
      </c>
      <c r="Y299" s="7" t="s">
        <v>80</v>
      </c>
      <c r="Z299" s="7" t="str">
        <f>INDEX('Brown tagset'!$B:$B,MATCH(IF(ISERROR(FIND("-",Y299)),IF(ISERROR(FIND("+",Y299)),Y299,LEFT(Y299,FIND("+",Y299)-1)),LEFT(Y299,FIND("-",Y299)-1)),'Brown tagset'!$A:$A,0))</f>
        <v>left paren</v>
      </c>
      <c r="AA299" s="7"/>
      <c r="AB299" s="7" t="str">
        <f>INDEX('Brown-Universal mapping'!$B:$B,MATCH(Y299,'Brown-Universal mapping'!$A:$A,0))</f>
        <v>.</v>
      </c>
      <c r="AC299" s="7">
        <f t="shared" si="50"/>
        <v>1</v>
      </c>
      <c r="AD299" s="7">
        <f t="shared" si="51"/>
        <v>1</v>
      </c>
      <c r="AF299" s="9" t="s">
        <v>80</v>
      </c>
      <c r="AG299" s="9" t="str">
        <f>INDEX('Brown tagset'!$B:$B,MATCH(IF(ISERROR(FIND("-",AF299)),IF(ISERROR(FIND("+",AF299)),AF299,LEFT(AF299,FIND("+",AF299)-1)),LEFT(AF299,FIND("-",AF299)-1)),'Brown tagset'!$A:$A,0))</f>
        <v>left paren</v>
      </c>
      <c r="AH299" s="9" t="s">
        <v>38</v>
      </c>
      <c r="AI299" s="9" t="str">
        <f>INDEX('Brown-Universal mapping'!$B:$B,MATCH(AF299,'Brown-Universal mapping'!$A:$A,0))</f>
        <v>.</v>
      </c>
      <c r="AJ299" s="9">
        <f t="shared" si="48"/>
        <v>1</v>
      </c>
      <c r="AK299" s="9">
        <f t="shared" si="49"/>
        <v>1</v>
      </c>
      <c r="AM299" s="6">
        <f t="shared" si="52"/>
        <v>3</v>
      </c>
      <c r="AN299" s="6">
        <f t="shared" si="53"/>
        <v>3</v>
      </c>
      <c r="AP299" s="6" t="str">
        <f t="shared" si="54"/>
        <v>left paren3</v>
      </c>
    </row>
    <row r="300" spans="1:42" x14ac:dyDescent="0.25">
      <c r="A300" s="4" t="s">
        <v>245</v>
      </c>
      <c r="D300" s="3" t="s">
        <v>7</v>
      </c>
      <c r="E300" s="3" t="str">
        <f>INDEX('Brown tagset'!$B:$B,MATCH(IF(ISERROR(FIND("-",D300)),IF(ISERROR(FIND("+",D300)),D300,LEFT(D300,FIND("+",D300)-1)),LEFT(D300,FIND("-",D300)-1)),'Brown tagset'!$A:$A,0))</f>
        <v>article (a, the, no)</v>
      </c>
      <c r="F300" s="3"/>
      <c r="G300" s="3" t="str">
        <f>INDEX('Brown-Universal mapping'!$B:$B,MATCH(D300,'Brown-Universal mapping'!$A:$A,0))</f>
        <v>DET</v>
      </c>
      <c r="I300" s="5" t="s">
        <v>7</v>
      </c>
      <c r="J300" s="5" t="str">
        <f>INDEX('Brown tagset'!$B:$B,MATCH(IF(ISERROR(FIND("-",I300)),IF(ISERROR(FIND("+",I300)),I300,LEFT(I300,FIND("+",I300)-1)),LEFT(I300,FIND("-",I300)-1)),'Brown tagset'!$A:$A,0))</f>
        <v>article (a, the, no)</v>
      </c>
      <c r="K300" s="5" t="s">
        <v>2</v>
      </c>
      <c r="L300" s="5" t="str">
        <f>INDEX('Brown-Universal mapping'!$B:$B,MATCH(I300,'Brown-Universal mapping'!$A:$A,0))</f>
        <v>DET</v>
      </c>
      <c r="M300" s="5">
        <f t="shared" si="44"/>
        <v>1</v>
      </c>
      <c r="N300" s="5">
        <f t="shared" si="45"/>
        <v>1</v>
      </c>
      <c r="P300" s="12" t="s">
        <v>245</v>
      </c>
      <c r="Q300" s="7" t="s">
        <v>89</v>
      </c>
      <c r="R300" s="7" t="str">
        <f>INDEX('Brown tagset'!$B:$B,MATCH(IF(ISERROR(FIND("-",Q300)),IF(ISERROR(FIND("+",Q300)),Q300,LEFT(Q300,FIND("+",Q300)-1)),LEFT(Q300,FIND("-",Q300)-1)),'Brown tagset'!$A:$A,0))</f>
        <v>article (a, the, no)</v>
      </c>
      <c r="S300" s="7"/>
      <c r="T300" s="7" t="str">
        <f>INDEX('Brown-Universal mapping'!$B:$B,MATCH(Q300,'Brown-Universal mapping'!$A:$A,0))</f>
        <v>DET</v>
      </c>
      <c r="U300" s="7">
        <f t="shared" si="46"/>
        <v>1</v>
      </c>
      <c r="V300" s="7">
        <f t="shared" si="47"/>
        <v>1</v>
      </c>
      <c r="X300" s="12" t="s">
        <v>245</v>
      </c>
      <c r="Y300" s="7" t="s">
        <v>89</v>
      </c>
      <c r="Z300" s="7" t="str">
        <f>INDEX('Brown tagset'!$B:$B,MATCH(IF(ISERROR(FIND("-",Y300)),IF(ISERROR(FIND("+",Y300)),Y300,LEFT(Y300,FIND("+",Y300)-1)),LEFT(Y300,FIND("-",Y300)-1)),'Brown tagset'!$A:$A,0))</f>
        <v>article (a, the, no)</v>
      </c>
      <c r="AA300" s="7"/>
      <c r="AB300" s="7" t="str">
        <f>INDEX('Brown-Universal mapping'!$B:$B,MATCH(Y300,'Brown-Universal mapping'!$A:$A,0))</f>
        <v>DET</v>
      </c>
      <c r="AC300" s="7">
        <f t="shared" si="50"/>
        <v>1</v>
      </c>
      <c r="AD300" s="7">
        <f t="shared" si="51"/>
        <v>1</v>
      </c>
      <c r="AF300" s="9" t="s">
        <v>7</v>
      </c>
      <c r="AG300" s="9" t="str">
        <f>INDEX('Brown tagset'!$B:$B,MATCH(IF(ISERROR(FIND("-",AF300)),IF(ISERROR(FIND("+",AF300)),AF300,LEFT(AF300,FIND("+",AF300)-1)),LEFT(AF300,FIND("-",AF300)-1)),'Brown tagset'!$A:$A,0))</f>
        <v>article (a, the, no)</v>
      </c>
      <c r="AH300" s="9" t="s">
        <v>2</v>
      </c>
      <c r="AI300" s="9" t="str">
        <f>INDEX('Brown-Universal mapping'!$B:$B,MATCH(AF300,'Brown-Universal mapping'!$A:$A,0))</f>
        <v>DET</v>
      </c>
      <c r="AJ300" s="9">
        <f t="shared" si="48"/>
        <v>1</v>
      </c>
      <c r="AK300" s="9">
        <f t="shared" si="49"/>
        <v>1</v>
      </c>
      <c r="AM300" s="6">
        <f t="shared" si="52"/>
        <v>3</v>
      </c>
      <c r="AN300" s="6">
        <f t="shared" si="53"/>
        <v>3</v>
      </c>
      <c r="AP300" s="6" t="str">
        <f t="shared" si="54"/>
        <v>article (a, the, no)3</v>
      </c>
    </row>
    <row r="301" spans="1:42" x14ac:dyDescent="0.25">
      <c r="A301" s="25" t="s">
        <v>246</v>
      </c>
      <c r="B301" s="25"/>
      <c r="D301" s="3" t="s">
        <v>12</v>
      </c>
      <c r="E301" s="3" t="str">
        <f>INDEX('Brown tagset'!$B:$B,MATCH(IF(ISERROR(FIND("-",D301)),IF(ISERROR(FIND("+",D301)),D301,LEFT(D301,FIND("+",D301)-1)),LEFT(D301,FIND("-",D301)-1)),'Brown tagset'!$A:$A,0))</f>
        <v>singular or mass noun</v>
      </c>
      <c r="F301" s="3"/>
      <c r="G301" s="3" t="str">
        <f>INDEX('Brown-Universal mapping'!$B:$B,MATCH(D301,'Brown-Universal mapping'!$A:$A,0))</f>
        <v>NOUN</v>
      </c>
      <c r="I301" s="5" t="s">
        <v>12</v>
      </c>
      <c r="J301" s="5" t="str">
        <f>INDEX('Brown tagset'!$B:$B,MATCH(IF(ISERROR(FIND("-",I301)),IF(ISERROR(FIND("+",I301)),I301,LEFT(I301,FIND("+",I301)-1)),LEFT(I301,FIND("-",I301)-1)),'Brown tagset'!$A:$A,0))</f>
        <v>singular or mass noun</v>
      </c>
      <c r="K301" s="5" t="s">
        <v>13</v>
      </c>
      <c r="L301" s="5" t="str">
        <f>INDEX('Brown-Universal mapping'!$B:$B,MATCH(I301,'Brown-Universal mapping'!$A:$A,0))</f>
        <v>NOUN</v>
      </c>
      <c r="M301" s="5">
        <f t="shared" si="44"/>
        <v>1</v>
      </c>
      <c r="N301" s="5">
        <f t="shared" si="45"/>
        <v>1</v>
      </c>
      <c r="P301" s="12" t="s">
        <v>246</v>
      </c>
      <c r="Q301" s="7" t="s">
        <v>289</v>
      </c>
      <c r="R301" s="7" t="str">
        <f>INDEX('Brown tagset'!$B:$B,MATCH(IF(ISERROR(FIND("-",Q301)),IF(ISERROR(FIND("+",Q301)),Q301,LEFT(Q301,FIND("+",Q301)-1)),LEFT(Q301,FIND("-",Q301)-1)),'Brown tagset'!$A:$A,0))</f>
        <v>singular or mass noun</v>
      </c>
      <c r="S301" s="7"/>
      <c r="T301" s="7" t="str">
        <f>INDEX('Brown-Universal mapping'!$B:$B,MATCH(Q301,'Brown-Universal mapping'!$A:$A,0))</f>
        <v>NOUN</v>
      </c>
      <c r="U301" s="7">
        <f t="shared" si="46"/>
        <v>1</v>
      </c>
      <c r="V301" s="7">
        <f t="shared" si="47"/>
        <v>1</v>
      </c>
      <c r="X301" s="12" t="s">
        <v>246</v>
      </c>
      <c r="Y301" s="7" t="s">
        <v>289</v>
      </c>
      <c r="Z301" s="7" t="str">
        <f>INDEX('Brown tagset'!$B:$B,MATCH(IF(ISERROR(FIND("-",Y301)),IF(ISERROR(FIND("+",Y301)),Y301,LEFT(Y301,FIND("+",Y301)-1)),LEFT(Y301,FIND("-",Y301)-1)),'Brown tagset'!$A:$A,0))</f>
        <v>singular or mass noun</v>
      </c>
      <c r="AA301" s="7"/>
      <c r="AB301" s="7" t="str">
        <f>INDEX('Brown-Universal mapping'!$B:$B,MATCH(Y301,'Brown-Universal mapping'!$A:$A,0))</f>
        <v>NOUN</v>
      </c>
      <c r="AC301" s="7">
        <f t="shared" si="50"/>
        <v>1</v>
      </c>
      <c r="AD301" s="7">
        <f t="shared" si="51"/>
        <v>1</v>
      </c>
      <c r="AF301" s="9" t="s">
        <v>340</v>
      </c>
      <c r="AG301" s="9" t="str">
        <f>INDEX('Brown tagset'!$B:$B,MATCH(IF(ISERROR(FIND("-",AF301)),IF(ISERROR(FIND("+",AF301)),AF301,LEFT(AF301,FIND("+",AF301)-1)),LEFT(AF301,FIND("-",AF301)-1)),'Brown tagset'!$A:$A,0))</f>
        <v>unknown</v>
      </c>
      <c r="AH301" s="9" t="s">
        <v>2</v>
      </c>
      <c r="AI301" s="9" t="str">
        <f>INDEX('Brown-Universal mapping'!$B:$B,MATCH(AF301,'Brown-Universal mapping'!$A:$A,0))</f>
        <v>Unknown</v>
      </c>
      <c r="AJ301" s="9">
        <f t="shared" si="48"/>
        <v>0</v>
      </c>
      <c r="AK301" s="9">
        <f t="shared" si="49"/>
        <v>0</v>
      </c>
      <c r="AM301" s="6">
        <f t="shared" si="52"/>
        <v>2</v>
      </c>
      <c r="AN301" s="6">
        <f t="shared" si="53"/>
        <v>2</v>
      </c>
      <c r="AP301" s="6" t="str">
        <f t="shared" si="54"/>
        <v>unknown2</v>
      </c>
    </row>
    <row r="302" spans="1:42" x14ac:dyDescent="0.25">
      <c r="A302" s="4" t="s">
        <v>14</v>
      </c>
      <c r="D302" s="3" t="s">
        <v>15</v>
      </c>
      <c r="E302" s="3" t="str">
        <f>INDEX('Brown tagset'!$B:$B,MATCH(IF(ISERROR(FIND("-",D302)),IF(ISERROR(FIND("+",D302)),D302,LEFT(D302,FIND("+",D302)-1)),LEFT(D302,FIND("-",D302)-1)),'Brown tagset'!$A:$A,0))</f>
        <v>has</v>
      </c>
      <c r="F302" s="3"/>
      <c r="G302" s="3" t="str">
        <f>INDEX('Brown-Universal mapping'!$B:$B,MATCH(D302,'Brown-Universal mapping'!$A:$A,0))</f>
        <v>VERB</v>
      </c>
      <c r="I302" s="5" t="s">
        <v>15</v>
      </c>
      <c r="J302" s="5" t="str">
        <f>INDEX('Brown tagset'!$B:$B,MATCH(IF(ISERROR(FIND("-",I302)),IF(ISERROR(FIND("+",I302)),I302,LEFT(I302,FIND("+",I302)-1)),LEFT(I302,FIND("-",I302)-1)),'Brown tagset'!$A:$A,0))</f>
        <v>has</v>
      </c>
      <c r="K302" s="5" t="s">
        <v>2</v>
      </c>
      <c r="L302" s="5" t="str">
        <f>INDEX('Brown-Universal mapping'!$B:$B,MATCH(I302,'Brown-Universal mapping'!$A:$A,0))</f>
        <v>VERB</v>
      </c>
      <c r="M302" s="5">
        <f t="shared" si="44"/>
        <v>1</v>
      </c>
      <c r="N302" s="5">
        <f t="shared" si="45"/>
        <v>1</v>
      </c>
      <c r="P302" s="12" t="s">
        <v>14</v>
      </c>
      <c r="Q302" s="7" t="s">
        <v>290</v>
      </c>
      <c r="R302" s="7" t="str">
        <f>INDEX('Brown tagset'!$B:$B,MATCH(IF(ISERROR(FIND("-",Q302)),IF(ISERROR(FIND("+",Q302)),Q302,LEFT(Q302,FIND("+",Q302)-1)),LEFT(Q302,FIND("-",Q302)-1)),'Brown tagset'!$A:$A,0))</f>
        <v>has</v>
      </c>
      <c r="S302" s="7"/>
      <c r="T302" s="7" t="str">
        <f>INDEX('Brown-Universal mapping'!$B:$B,MATCH(Q302,'Brown-Universal mapping'!$A:$A,0))</f>
        <v>VERB</v>
      </c>
      <c r="U302" s="7">
        <f t="shared" si="46"/>
        <v>1</v>
      </c>
      <c r="V302" s="7">
        <f t="shared" si="47"/>
        <v>1</v>
      </c>
      <c r="X302" s="12" t="s">
        <v>14</v>
      </c>
      <c r="Y302" s="7" t="s">
        <v>290</v>
      </c>
      <c r="Z302" s="7" t="str">
        <f>INDEX('Brown tagset'!$B:$B,MATCH(IF(ISERROR(FIND("-",Y302)),IF(ISERROR(FIND("+",Y302)),Y302,LEFT(Y302,FIND("+",Y302)-1)),LEFT(Y302,FIND("-",Y302)-1)),'Brown tagset'!$A:$A,0))</f>
        <v>has</v>
      </c>
      <c r="AA302" s="7"/>
      <c r="AB302" s="7" t="str">
        <f>INDEX('Brown-Universal mapping'!$B:$B,MATCH(Y302,'Brown-Universal mapping'!$A:$A,0))</f>
        <v>VERB</v>
      </c>
      <c r="AC302" s="7">
        <f t="shared" si="50"/>
        <v>1</v>
      </c>
      <c r="AD302" s="7">
        <f t="shared" si="51"/>
        <v>1</v>
      </c>
      <c r="AF302" s="9" t="s">
        <v>15</v>
      </c>
      <c r="AG302" s="9" t="str">
        <f>INDEX('Brown tagset'!$B:$B,MATCH(IF(ISERROR(FIND("-",AF302)),IF(ISERROR(FIND("+",AF302)),AF302,LEFT(AF302,FIND("+",AF302)-1)),LEFT(AF302,FIND("-",AF302)-1)),'Brown tagset'!$A:$A,0))</f>
        <v>has</v>
      </c>
      <c r="AH302" s="9" t="s">
        <v>2</v>
      </c>
      <c r="AI302" s="9" t="str">
        <f>INDEX('Brown-Universal mapping'!$B:$B,MATCH(AF302,'Brown-Universal mapping'!$A:$A,0))</f>
        <v>VERB</v>
      </c>
      <c r="AJ302" s="9">
        <f t="shared" si="48"/>
        <v>1</v>
      </c>
      <c r="AK302" s="9">
        <f t="shared" si="49"/>
        <v>1</v>
      </c>
      <c r="AM302" s="6">
        <f t="shared" si="52"/>
        <v>3</v>
      </c>
      <c r="AN302" s="6">
        <f t="shared" si="53"/>
        <v>3</v>
      </c>
      <c r="AP302" s="6" t="str">
        <f t="shared" si="54"/>
        <v>has3</v>
      </c>
    </row>
    <row r="303" spans="1:42" x14ac:dyDescent="0.25">
      <c r="A303" s="4" t="s">
        <v>6</v>
      </c>
      <c r="D303" s="3" t="s">
        <v>7</v>
      </c>
      <c r="E303" s="3" t="str">
        <f>INDEX('Brown tagset'!$B:$B,MATCH(IF(ISERROR(FIND("-",D303)),IF(ISERROR(FIND("+",D303)),D303,LEFT(D303,FIND("+",D303)-1)),LEFT(D303,FIND("-",D303)-1)),'Brown tagset'!$A:$A,0))</f>
        <v>article (a, the, no)</v>
      </c>
      <c r="F303" s="3"/>
      <c r="G303" s="3" t="str">
        <f>INDEX('Brown-Universal mapping'!$B:$B,MATCH(D303,'Brown-Universal mapping'!$A:$A,0))</f>
        <v>DET</v>
      </c>
      <c r="I303" s="5" t="s">
        <v>7</v>
      </c>
      <c r="J303" s="5" t="str">
        <f>INDEX('Brown tagset'!$B:$B,MATCH(IF(ISERROR(FIND("-",I303)),IF(ISERROR(FIND("+",I303)),I303,LEFT(I303,FIND("+",I303)-1)),LEFT(I303,FIND("-",I303)-1)),'Brown tagset'!$A:$A,0))</f>
        <v>article (a, the, no)</v>
      </c>
      <c r="K303" s="5" t="s">
        <v>2</v>
      </c>
      <c r="L303" s="5" t="str">
        <f>INDEX('Brown-Universal mapping'!$B:$B,MATCH(I303,'Brown-Universal mapping'!$A:$A,0))</f>
        <v>DET</v>
      </c>
      <c r="M303" s="5">
        <f t="shared" si="44"/>
        <v>1</v>
      </c>
      <c r="N303" s="5">
        <f t="shared" si="45"/>
        <v>1</v>
      </c>
      <c r="P303" s="12" t="s">
        <v>6</v>
      </c>
      <c r="Q303" s="7" t="s">
        <v>89</v>
      </c>
      <c r="R303" s="7" t="str">
        <f>INDEX('Brown tagset'!$B:$B,MATCH(IF(ISERROR(FIND("-",Q303)),IF(ISERROR(FIND("+",Q303)),Q303,LEFT(Q303,FIND("+",Q303)-1)),LEFT(Q303,FIND("-",Q303)-1)),'Brown tagset'!$A:$A,0))</f>
        <v>article (a, the, no)</v>
      </c>
      <c r="S303" s="7"/>
      <c r="T303" s="7" t="str">
        <f>INDEX('Brown-Universal mapping'!$B:$B,MATCH(Q303,'Brown-Universal mapping'!$A:$A,0))</f>
        <v>DET</v>
      </c>
      <c r="U303" s="7">
        <f t="shared" si="46"/>
        <v>1</v>
      </c>
      <c r="V303" s="7">
        <f t="shared" si="47"/>
        <v>1</v>
      </c>
      <c r="X303" s="12" t="s">
        <v>6</v>
      </c>
      <c r="Y303" s="7" t="s">
        <v>89</v>
      </c>
      <c r="Z303" s="7" t="str">
        <f>INDEX('Brown tagset'!$B:$B,MATCH(IF(ISERROR(FIND("-",Y303)),IF(ISERROR(FIND("+",Y303)),Y303,LEFT(Y303,FIND("+",Y303)-1)),LEFT(Y303,FIND("-",Y303)-1)),'Brown tagset'!$A:$A,0))</f>
        <v>article (a, the, no)</v>
      </c>
      <c r="AA303" s="7"/>
      <c r="AB303" s="7" t="str">
        <f>INDEX('Brown-Universal mapping'!$B:$B,MATCH(Y303,'Brown-Universal mapping'!$A:$A,0))</f>
        <v>DET</v>
      </c>
      <c r="AC303" s="7">
        <f t="shared" si="50"/>
        <v>1</v>
      </c>
      <c r="AD303" s="7">
        <f t="shared" si="51"/>
        <v>1</v>
      </c>
      <c r="AF303" s="9" t="s">
        <v>7</v>
      </c>
      <c r="AG303" s="9" t="str">
        <f>INDEX('Brown tagset'!$B:$B,MATCH(IF(ISERROR(FIND("-",AF303)),IF(ISERROR(FIND("+",AF303)),AF303,LEFT(AF303,FIND("+",AF303)-1)),LEFT(AF303,FIND("-",AF303)-1)),'Brown tagset'!$A:$A,0))</f>
        <v>article (a, the, no)</v>
      </c>
      <c r="AH303" s="9" t="s">
        <v>2</v>
      </c>
      <c r="AI303" s="9" t="str">
        <f>INDEX('Brown-Universal mapping'!$B:$B,MATCH(AF303,'Brown-Universal mapping'!$A:$A,0))</f>
        <v>DET</v>
      </c>
      <c r="AJ303" s="9">
        <f t="shared" si="48"/>
        <v>1</v>
      </c>
      <c r="AK303" s="9">
        <f t="shared" si="49"/>
        <v>1</v>
      </c>
      <c r="AM303" s="6">
        <f t="shared" si="52"/>
        <v>3</v>
      </c>
      <c r="AN303" s="6">
        <f t="shared" si="53"/>
        <v>3</v>
      </c>
      <c r="AP303" s="6" t="str">
        <f t="shared" si="54"/>
        <v>article (a, the, no)3</v>
      </c>
    </row>
    <row r="304" spans="1:42" x14ac:dyDescent="0.25">
      <c r="A304" s="26" t="s">
        <v>247</v>
      </c>
      <c r="B304" s="26"/>
      <c r="D304" s="3" t="s">
        <v>12</v>
      </c>
      <c r="E304" s="3" t="str">
        <f>INDEX('Brown tagset'!$B:$B,MATCH(IF(ISERROR(FIND("-",D304)),IF(ISERROR(FIND("+",D304)),D304,LEFT(D304,FIND("+",D304)-1)),LEFT(D304,FIND("-",D304)-1)),'Brown tagset'!$A:$A,0))</f>
        <v>singular or mass noun</v>
      </c>
      <c r="F304" s="3"/>
      <c r="G304" s="3" t="str">
        <f>INDEX('Brown-Universal mapping'!$B:$B,MATCH(D304,'Brown-Universal mapping'!$A:$A,0))</f>
        <v>NOUN</v>
      </c>
      <c r="I304" s="5" t="s">
        <v>45</v>
      </c>
      <c r="J304" s="5" t="str">
        <f>INDEX('Brown tagset'!$B:$B,MATCH(IF(ISERROR(FIND("-",I304)),IF(ISERROR(FIND("+",I304)),I304,LEFT(I304,FIND("+",I304)-1)),LEFT(I304,FIND("-",I304)-1)),'Brown tagset'!$A:$A,0))</f>
        <v>adjective</v>
      </c>
      <c r="K304" s="5" t="s">
        <v>46</v>
      </c>
      <c r="L304" s="5" t="str">
        <f>INDEX('Brown-Universal mapping'!$B:$B,MATCH(I304,'Brown-Universal mapping'!$A:$A,0))</f>
        <v>ADJ</v>
      </c>
      <c r="M304" s="5">
        <f t="shared" si="44"/>
        <v>0</v>
      </c>
      <c r="N304" s="5">
        <f t="shared" si="45"/>
        <v>0</v>
      </c>
      <c r="P304" s="12" t="s">
        <v>247</v>
      </c>
      <c r="Q304" s="7" t="s">
        <v>299</v>
      </c>
      <c r="R304" s="7" t="str">
        <f>INDEX('Brown tagset'!$B:$B,MATCH(IF(ISERROR(FIND("-",Q304)),IF(ISERROR(FIND("+",Q304)),Q304,LEFT(Q304,FIND("+",Q304)-1)),LEFT(Q304,FIND("-",Q304)-1)),'Brown tagset'!$A:$A,0))</f>
        <v>adjective</v>
      </c>
      <c r="S304" s="7"/>
      <c r="T304" s="7" t="str">
        <f>INDEX('Brown-Universal mapping'!$B:$B,MATCH(Q304,'Brown-Universal mapping'!$A:$A,0))</f>
        <v>ADJ</v>
      </c>
      <c r="U304" s="7">
        <f t="shared" si="46"/>
        <v>0</v>
      </c>
      <c r="V304" s="7">
        <f t="shared" si="47"/>
        <v>0</v>
      </c>
      <c r="X304" s="12" t="s">
        <v>247</v>
      </c>
      <c r="Y304" s="7" t="s">
        <v>289</v>
      </c>
      <c r="Z304" s="7" t="str">
        <f>INDEX('Brown tagset'!$B:$B,MATCH(IF(ISERROR(FIND("-",Y304)),IF(ISERROR(FIND("+",Y304)),Y304,LEFT(Y304,FIND("+",Y304)-1)),LEFT(Y304,FIND("-",Y304)-1)),'Brown tagset'!$A:$A,0))</f>
        <v>singular or mass noun</v>
      </c>
      <c r="AA304" s="7"/>
      <c r="AB304" s="7" t="str">
        <f>INDEX('Brown-Universal mapping'!$B:$B,MATCH(Y304,'Brown-Universal mapping'!$A:$A,0))</f>
        <v>NOUN</v>
      </c>
      <c r="AC304" s="7">
        <f t="shared" si="50"/>
        <v>1</v>
      </c>
      <c r="AD304" s="7">
        <f t="shared" si="51"/>
        <v>1</v>
      </c>
      <c r="AF304" s="9" t="s">
        <v>340</v>
      </c>
      <c r="AG304" s="9" t="str">
        <f>INDEX('Brown tagset'!$B:$B,MATCH(IF(ISERROR(FIND("-",AF304)),IF(ISERROR(FIND("+",AF304)),AF304,LEFT(AF304,FIND("+",AF304)-1)),LEFT(AF304,FIND("-",AF304)-1)),'Brown tagset'!$A:$A,0))</f>
        <v>unknown</v>
      </c>
      <c r="AH304" s="9" t="s">
        <v>2</v>
      </c>
      <c r="AI304" s="9" t="str">
        <f>INDEX('Brown-Universal mapping'!$B:$B,MATCH(AF304,'Brown-Universal mapping'!$A:$A,0))</f>
        <v>Unknown</v>
      </c>
      <c r="AJ304" s="9">
        <f t="shared" si="48"/>
        <v>0</v>
      </c>
      <c r="AK304" s="9">
        <f t="shared" si="49"/>
        <v>0</v>
      </c>
      <c r="AM304" s="6">
        <f t="shared" si="52"/>
        <v>1</v>
      </c>
      <c r="AN304" s="6">
        <f t="shared" si="53"/>
        <v>1</v>
      </c>
      <c r="AP304" s="6" t="str">
        <f t="shared" si="54"/>
        <v>unknown1</v>
      </c>
    </row>
    <row r="305" spans="1:42" x14ac:dyDescent="0.25">
      <c r="A305" s="4" t="s">
        <v>248</v>
      </c>
      <c r="D305" s="3" t="s">
        <v>12</v>
      </c>
      <c r="E305" s="3" t="str">
        <f>INDEX('Brown tagset'!$B:$B,MATCH(IF(ISERROR(FIND("-",D305)),IF(ISERROR(FIND("+",D305)),D305,LEFT(D305,FIND("+",D305)-1)),LEFT(D305,FIND("-",D305)-1)),'Brown tagset'!$A:$A,0))</f>
        <v>singular or mass noun</v>
      </c>
      <c r="F305" s="3"/>
      <c r="G305" s="3" t="str">
        <f>INDEX('Brown-Universal mapping'!$B:$B,MATCH(D305,'Brown-Universal mapping'!$A:$A,0))</f>
        <v>NOUN</v>
      </c>
      <c r="I305" s="5" t="s">
        <v>12</v>
      </c>
      <c r="J305" s="5" t="str">
        <f>INDEX('Brown tagset'!$B:$B,MATCH(IF(ISERROR(FIND("-",I305)),IF(ISERROR(FIND("+",I305)),I305,LEFT(I305,FIND("+",I305)-1)),LEFT(I305,FIND("-",I305)-1)),'Brown tagset'!$A:$A,0))</f>
        <v>singular or mass noun</v>
      </c>
      <c r="K305" s="5" t="s">
        <v>13</v>
      </c>
      <c r="L305" s="5" t="str">
        <f>INDEX('Brown-Universal mapping'!$B:$B,MATCH(I305,'Brown-Universal mapping'!$A:$A,0))</f>
        <v>NOUN</v>
      </c>
      <c r="M305" s="5">
        <f t="shared" si="44"/>
        <v>1</v>
      </c>
      <c r="N305" s="5">
        <f t="shared" si="45"/>
        <v>1</v>
      </c>
      <c r="P305" s="12" t="s">
        <v>248</v>
      </c>
      <c r="Q305" s="7" t="s">
        <v>289</v>
      </c>
      <c r="R305" s="7" t="str">
        <f>INDEX('Brown tagset'!$B:$B,MATCH(IF(ISERROR(FIND("-",Q305)),IF(ISERROR(FIND("+",Q305)),Q305,LEFT(Q305,FIND("+",Q305)-1)),LEFT(Q305,FIND("-",Q305)-1)),'Brown tagset'!$A:$A,0))</f>
        <v>singular or mass noun</v>
      </c>
      <c r="S305" s="7"/>
      <c r="T305" s="7" t="str">
        <f>INDEX('Brown-Universal mapping'!$B:$B,MATCH(Q305,'Brown-Universal mapping'!$A:$A,0))</f>
        <v>NOUN</v>
      </c>
      <c r="U305" s="7">
        <f t="shared" si="46"/>
        <v>1</v>
      </c>
      <c r="V305" s="7">
        <f t="shared" si="47"/>
        <v>1</v>
      </c>
      <c r="X305" s="12" t="s">
        <v>248</v>
      </c>
      <c r="Y305" s="7" t="s">
        <v>289</v>
      </c>
      <c r="Z305" s="7" t="str">
        <f>INDEX('Brown tagset'!$B:$B,MATCH(IF(ISERROR(FIND("-",Y305)),IF(ISERROR(FIND("+",Y305)),Y305,LEFT(Y305,FIND("+",Y305)-1)),LEFT(Y305,FIND("-",Y305)-1)),'Brown tagset'!$A:$A,0))</f>
        <v>singular or mass noun</v>
      </c>
      <c r="AA305" s="7"/>
      <c r="AB305" s="7" t="str">
        <f>INDEX('Brown-Universal mapping'!$B:$B,MATCH(Y305,'Brown-Universal mapping'!$A:$A,0))</f>
        <v>NOUN</v>
      </c>
      <c r="AC305" s="7">
        <f t="shared" si="50"/>
        <v>1</v>
      </c>
      <c r="AD305" s="7">
        <f t="shared" si="51"/>
        <v>1</v>
      </c>
      <c r="AF305" s="9" t="s">
        <v>12</v>
      </c>
      <c r="AG305" s="9" t="str">
        <f>INDEX('Brown tagset'!$B:$B,MATCH(IF(ISERROR(FIND("-",AF305)),IF(ISERROR(FIND("+",AF305)),AF305,LEFT(AF305,FIND("+",AF305)-1)),LEFT(AF305,FIND("-",AF305)-1)),'Brown tagset'!$A:$A,0))</f>
        <v>singular or mass noun</v>
      </c>
      <c r="AH305" s="9" t="s">
        <v>13</v>
      </c>
      <c r="AI305" s="9" t="str">
        <f>INDEX('Brown-Universal mapping'!$B:$B,MATCH(AF305,'Brown-Universal mapping'!$A:$A,0))</f>
        <v>NOUN</v>
      </c>
      <c r="AJ305" s="9">
        <f t="shared" si="48"/>
        <v>1</v>
      </c>
      <c r="AK305" s="9">
        <f t="shared" si="49"/>
        <v>1</v>
      </c>
      <c r="AM305" s="6">
        <f t="shared" si="52"/>
        <v>3</v>
      </c>
      <c r="AN305" s="6">
        <f t="shared" si="53"/>
        <v>3</v>
      </c>
      <c r="AP305" s="6" t="str">
        <f t="shared" si="54"/>
        <v>singular or mass noun3</v>
      </c>
    </row>
    <row r="306" spans="1:42" x14ac:dyDescent="0.25">
      <c r="A306" s="4" t="s">
        <v>81</v>
      </c>
      <c r="D306" s="3" t="s">
        <v>59</v>
      </c>
      <c r="E306" s="3" t="str">
        <f>INDEX('Brown tagset'!$B:$B,MATCH(IF(ISERROR(FIND("-",D306)),IF(ISERROR(FIND("+",D306)),D306,LEFT(D306,FIND("+",D306)-1)),LEFT(D306,FIND("-",D306)-1)),'Brown tagset'!$A:$A,0))</f>
        <v>preposition</v>
      </c>
      <c r="F306" s="3"/>
      <c r="G306" s="3" t="str">
        <f>INDEX('Brown-Universal mapping'!$B:$B,MATCH(D306,'Brown-Universal mapping'!$A:$A,0))</f>
        <v>ADP</v>
      </c>
      <c r="I306" s="5" t="s">
        <v>59</v>
      </c>
      <c r="J306" s="5" t="str">
        <f>INDEX('Brown tagset'!$B:$B,MATCH(IF(ISERROR(FIND("-",I306)),IF(ISERROR(FIND("+",I306)),I306,LEFT(I306,FIND("+",I306)-1)),LEFT(I306,FIND("-",I306)-1)),'Brown tagset'!$A:$A,0))</f>
        <v>preposition</v>
      </c>
      <c r="K306" s="5" t="s">
        <v>60</v>
      </c>
      <c r="L306" s="5" t="str">
        <f>INDEX('Brown-Universal mapping'!$B:$B,MATCH(I306,'Brown-Universal mapping'!$A:$A,0))</f>
        <v>ADP</v>
      </c>
      <c r="M306" s="5">
        <f t="shared" si="44"/>
        <v>1</v>
      </c>
      <c r="N306" s="5">
        <f t="shared" si="45"/>
        <v>1</v>
      </c>
      <c r="P306" s="12" t="s">
        <v>81</v>
      </c>
      <c r="Q306" s="7" t="s">
        <v>124</v>
      </c>
      <c r="R306" s="7" t="str">
        <f>INDEX('Brown tagset'!$B:$B,MATCH(IF(ISERROR(FIND("-",Q306)),IF(ISERROR(FIND("+",Q306)),Q306,LEFT(Q306,FIND("+",Q306)-1)),LEFT(Q306,FIND("-",Q306)-1)),'Brown tagset'!$A:$A,0))</f>
        <v>preposition</v>
      </c>
      <c r="S306" s="7"/>
      <c r="T306" s="7" t="str">
        <f>INDEX('Brown-Universal mapping'!$B:$B,MATCH(Q306,'Brown-Universal mapping'!$A:$A,0))</f>
        <v>ADP</v>
      </c>
      <c r="U306" s="7">
        <f t="shared" si="46"/>
        <v>1</v>
      </c>
      <c r="V306" s="7">
        <f t="shared" si="47"/>
        <v>1</v>
      </c>
      <c r="X306" s="12" t="s">
        <v>81</v>
      </c>
      <c r="Y306" s="7" t="s">
        <v>124</v>
      </c>
      <c r="Z306" s="7" t="str">
        <f>INDEX('Brown tagset'!$B:$B,MATCH(IF(ISERROR(FIND("-",Y306)),IF(ISERROR(FIND("+",Y306)),Y306,LEFT(Y306,FIND("+",Y306)-1)),LEFT(Y306,FIND("-",Y306)-1)),'Brown tagset'!$A:$A,0))</f>
        <v>preposition</v>
      </c>
      <c r="AA306" s="7"/>
      <c r="AB306" s="7" t="str">
        <f>INDEX('Brown-Universal mapping'!$B:$B,MATCH(Y306,'Brown-Universal mapping'!$A:$A,0))</f>
        <v>ADP</v>
      </c>
      <c r="AC306" s="7">
        <f t="shared" si="50"/>
        <v>1</v>
      </c>
      <c r="AD306" s="7">
        <f t="shared" si="51"/>
        <v>1</v>
      </c>
      <c r="AF306" s="9" t="s">
        <v>59</v>
      </c>
      <c r="AG306" s="9" t="str">
        <f>INDEX('Brown tagset'!$B:$B,MATCH(IF(ISERROR(FIND("-",AF306)),IF(ISERROR(FIND("+",AF306)),AF306,LEFT(AF306,FIND("+",AF306)-1)),LEFT(AF306,FIND("-",AF306)-1)),'Brown tagset'!$A:$A,0))</f>
        <v>preposition</v>
      </c>
      <c r="AH306" s="9" t="s">
        <v>60</v>
      </c>
      <c r="AI306" s="9" t="str">
        <f>INDEX('Brown-Universal mapping'!$B:$B,MATCH(AF306,'Brown-Universal mapping'!$A:$A,0))</f>
        <v>ADP</v>
      </c>
      <c r="AJ306" s="9">
        <f t="shared" si="48"/>
        <v>1</v>
      </c>
      <c r="AK306" s="9">
        <f t="shared" si="49"/>
        <v>1</v>
      </c>
      <c r="AM306" s="6">
        <f t="shared" si="52"/>
        <v>3</v>
      </c>
      <c r="AN306" s="6">
        <f t="shared" si="53"/>
        <v>3</v>
      </c>
      <c r="AP306" s="6" t="str">
        <f t="shared" si="54"/>
        <v>preposition3</v>
      </c>
    </row>
    <row r="307" spans="1:42" x14ac:dyDescent="0.25">
      <c r="A307" s="4" t="s">
        <v>241</v>
      </c>
      <c r="D307" s="3" t="s">
        <v>242</v>
      </c>
      <c r="E307" s="3" t="str">
        <f>INDEX('Brown tagset'!$B:$B,MATCH(IF(ISERROR(FIND("-",D307)),IF(ISERROR(FIND("+",D307)),D307,LEFT(D307,FIND("+",D307)-1)),LEFT(D307,FIND("-",D307)-1)),'Brown tagset'!$A:$A,0))</f>
        <v>singular or plural determiner/quantifier (some, any)</v>
      </c>
      <c r="F307" s="3"/>
      <c r="G307" s="3" t="str">
        <f>INDEX('Brown-Universal mapping'!$B:$B,MATCH(D307,'Brown-Universal mapping'!$A:$A,0))</f>
        <v>DET</v>
      </c>
      <c r="I307" s="5" t="s">
        <v>242</v>
      </c>
      <c r="J307" s="5" t="str">
        <f>INDEX('Brown tagset'!$B:$B,MATCH(IF(ISERROR(FIND("-",I307)),IF(ISERROR(FIND("+",I307)),I307,LEFT(I307,FIND("+",I307)-1)),LEFT(I307,FIND("-",I307)-1)),'Brown tagset'!$A:$A,0))</f>
        <v>singular or plural determiner/quantifier (some, any)</v>
      </c>
      <c r="K307" s="5" t="s">
        <v>2</v>
      </c>
      <c r="L307" s="5" t="str">
        <f>INDEX('Brown-Universal mapping'!$B:$B,MATCH(I307,'Brown-Universal mapping'!$A:$A,0))</f>
        <v>DET</v>
      </c>
      <c r="M307" s="5">
        <f t="shared" si="44"/>
        <v>1</v>
      </c>
      <c r="N307" s="5">
        <f t="shared" si="45"/>
        <v>1</v>
      </c>
      <c r="P307" s="12" t="s">
        <v>241</v>
      </c>
      <c r="Q307" s="7" t="s">
        <v>333</v>
      </c>
      <c r="R307" s="7" t="str">
        <f>INDEX('Brown tagset'!$B:$B,MATCH(IF(ISERROR(FIND("-",Q307)),IF(ISERROR(FIND("+",Q307)),Q307,LEFT(Q307,FIND("+",Q307)-1)),LEFT(Q307,FIND("-",Q307)-1)),'Brown tagset'!$A:$A,0))</f>
        <v>singular or plural determiner/quantifier (some, any)</v>
      </c>
      <c r="S307" s="7"/>
      <c r="T307" s="7" t="str">
        <f>INDEX('Brown-Universal mapping'!$B:$B,MATCH(Q307,'Brown-Universal mapping'!$A:$A,0))</f>
        <v>DET</v>
      </c>
      <c r="U307" s="7">
        <f t="shared" si="46"/>
        <v>1</v>
      </c>
      <c r="V307" s="7">
        <f t="shared" si="47"/>
        <v>1</v>
      </c>
      <c r="X307" s="12" t="s">
        <v>241</v>
      </c>
      <c r="Y307" s="7" t="s">
        <v>333</v>
      </c>
      <c r="Z307" s="7" t="str">
        <f>INDEX('Brown tagset'!$B:$B,MATCH(IF(ISERROR(FIND("-",Y307)),IF(ISERROR(FIND("+",Y307)),Y307,LEFT(Y307,FIND("+",Y307)-1)),LEFT(Y307,FIND("-",Y307)-1)),'Brown tagset'!$A:$A,0))</f>
        <v>singular or plural determiner/quantifier (some, any)</v>
      </c>
      <c r="AA307" s="7"/>
      <c r="AB307" s="7" t="str">
        <f>INDEX('Brown-Universal mapping'!$B:$B,MATCH(Y307,'Brown-Universal mapping'!$A:$A,0))</f>
        <v>DET</v>
      </c>
      <c r="AC307" s="7">
        <f t="shared" si="50"/>
        <v>1</v>
      </c>
      <c r="AD307" s="7">
        <f t="shared" si="51"/>
        <v>1</v>
      </c>
      <c r="AF307" s="9" t="s">
        <v>242</v>
      </c>
      <c r="AG307" s="9" t="str">
        <f>INDEX('Brown tagset'!$B:$B,MATCH(IF(ISERROR(FIND("-",AF307)),IF(ISERROR(FIND("+",AF307)),AF307,LEFT(AF307,FIND("+",AF307)-1)),LEFT(AF307,FIND("-",AF307)-1)),'Brown tagset'!$A:$A,0))</f>
        <v>singular or plural determiner/quantifier (some, any)</v>
      </c>
      <c r="AH307" s="9" t="s">
        <v>2</v>
      </c>
      <c r="AI307" s="9" t="str">
        <f>INDEX('Brown-Universal mapping'!$B:$B,MATCH(AF307,'Brown-Universal mapping'!$A:$A,0))</f>
        <v>DET</v>
      </c>
      <c r="AJ307" s="9">
        <f t="shared" si="48"/>
        <v>1</v>
      </c>
      <c r="AK307" s="9">
        <f t="shared" si="49"/>
        <v>1</v>
      </c>
      <c r="AM307" s="6">
        <f t="shared" si="52"/>
        <v>3</v>
      </c>
      <c r="AN307" s="6">
        <f t="shared" si="53"/>
        <v>3</v>
      </c>
      <c r="AP307" s="6" t="str">
        <f t="shared" si="54"/>
        <v>singular or plural determiner/quantifier (some, any)3</v>
      </c>
    </row>
    <row r="308" spans="1:42" x14ac:dyDescent="0.25">
      <c r="A308" s="4" t="s">
        <v>249</v>
      </c>
      <c r="D308" s="3" t="s">
        <v>12</v>
      </c>
      <c r="E308" s="3" t="str">
        <f>INDEX('Brown tagset'!$B:$B,MATCH(IF(ISERROR(FIND("-",D308)),IF(ISERROR(FIND("+",D308)),D308,LEFT(D308,FIND("+",D308)-1)),LEFT(D308,FIND("-",D308)-1)),'Brown tagset'!$A:$A,0))</f>
        <v>singular or mass noun</v>
      </c>
      <c r="F308" s="3"/>
      <c r="G308" s="3" t="str">
        <f>INDEX('Brown-Universal mapping'!$B:$B,MATCH(D308,'Brown-Universal mapping'!$A:$A,0))</f>
        <v>NOUN</v>
      </c>
      <c r="I308" s="5" t="s">
        <v>12</v>
      </c>
      <c r="J308" s="5" t="str">
        <f>INDEX('Brown tagset'!$B:$B,MATCH(IF(ISERROR(FIND("-",I308)),IF(ISERROR(FIND("+",I308)),I308,LEFT(I308,FIND("+",I308)-1)),LEFT(I308,FIND("-",I308)-1)),'Brown tagset'!$A:$A,0))</f>
        <v>singular or mass noun</v>
      </c>
      <c r="K308" s="5" t="s">
        <v>13</v>
      </c>
      <c r="L308" s="5" t="str">
        <f>INDEX('Brown-Universal mapping'!$B:$B,MATCH(I308,'Brown-Universal mapping'!$A:$A,0))</f>
        <v>NOUN</v>
      </c>
      <c r="M308" s="5">
        <f t="shared" si="44"/>
        <v>1</v>
      </c>
      <c r="N308" s="5">
        <f t="shared" si="45"/>
        <v>1</v>
      </c>
      <c r="P308" s="12" t="s">
        <v>249</v>
      </c>
      <c r="Q308" s="7" t="s">
        <v>289</v>
      </c>
      <c r="R308" s="7" t="str">
        <f>INDEX('Brown tagset'!$B:$B,MATCH(IF(ISERROR(FIND("-",Q308)),IF(ISERROR(FIND("+",Q308)),Q308,LEFT(Q308,FIND("+",Q308)-1)),LEFT(Q308,FIND("-",Q308)-1)),'Brown tagset'!$A:$A,0))</f>
        <v>singular or mass noun</v>
      </c>
      <c r="S308" s="7"/>
      <c r="T308" s="7" t="str">
        <f>INDEX('Brown-Universal mapping'!$B:$B,MATCH(Q308,'Brown-Universal mapping'!$A:$A,0))</f>
        <v>NOUN</v>
      </c>
      <c r="U308" s="7">
        <f t="shared" si="46"/>
        <v>1</v>
      </c>
      <c r="V308" s="7">
        <f t="shared" si="47"/>
        <v>1</v>
      </c>
      <c r="X308" s="12" t="s">
        <v>249</v>
      </c>
      <c r="Y308" s="7" t="s">
        <v>289</v>
      </c>
      <c r="Z308" s="7" t="str">
        <f>INDEX('Brown tagset'!$B:$B,MATCH(IF(ISERROR(FIND("-",Y308)),IF(ISERROR(FIND("+",Y308)),Y308,LEFT(Y308,FIND("+",Y308)-1)),LEFT(Y308,FIND("-",Y308)-1)),'Brown tagset'!$A:$A,0))</f>
        <v>singular or mass noun</v>
      </c>
      <c r="AA308" s="7"/>
      <c r="AB308" s="7" t="str">
        <f>INDEX('Brown-Universal mapping'!$B:$B,MATCH(Y308,'Brown-Universal mapping'!$A:$A,0))</f>
        <v>NOUN</v>
      </c>
      <c r="AC308" s="7">
        <f t="shared" si="50"/>
        <v>1</v>
      </c>
      <c r="AD308" s="7">
        <f t="shared" si="51"/>
        <v>1</v>
      </c>
      <c r="AF308" s="9" t="s">
        <v>12</v>
      </c>
      <c r="AG308" s="9" t="str">
        <f>INDEX('Brown tagset'!$B:$B,MATCH(IF(ISERROR(FIND("-",AF308)),IF(ISERROR(FIND("+",AF308)),AF308,LEFT(AF308,FIND("+",AF308)-1)),LEFT(AF308,FIND("-",AF308)-1)),'Brown tagset'!$A:$A,0))</f>
        <v>singular or mass noun</v>
      </c>
      <c r="AH308" s="9" t="s">
        <v>13</v>
      </c>
      <c r="AI308" s="9" t="str">
        <f>INDEX('Brown-Universal mapping'!$B:$B,MATCH(AF308,'Brown-Universal mapping'!$A:$A,0))</f>
        <v>NOUN</v>
      </c>
      <c r="AJ308" s="9">
        <f t="shared" si="48"/>
        <v>1</v>
      </c>
      <c r="AK308" s="9">
        <f t="shared" si="49"/>
        <v>1</v>
      </c>
      <c r="AM308" s="6">
        <f t="shared" si="52"/>
        <v>3</v>
      </c>
      <c r="AN308" s="6">
        <f t="shared" si="53"/>
        <v>3</v>
      </c>
      <c r="AP308" s="6" t="str">
        <f t="shared" si="54"/>
        <v>singular or mass noun3</v>
      </c>
    </row>
    <row r="309" spans="1:42" x14ac:dyDescent="0.25">
      <c r="A309" s="4" t="s">
        <v>55</v>
      </c>
      <c r="D309" s="3" t="s">
        <v>26</v>
      </c>
      <c r="E309" s="3" t="str">
        <f>INDEX('Brown tagset'!$B:$B,MATCH(IF(ISERROR(FIND("-",D309)),IF(ISERROR(FIND("+",D309)),D309,LEFT(D309,FIND("+",D309)-1)),LEFT(D309,FIND("-",D309)-1)),'Brown tagset'!$A:$A,0))</f>
        <v>coordinating conjunction (and, or)</v>
      </c>
      <c r="F309" s="3"/>
      <c r="G309" s="3" t="str">
        <f>INDEX('Brown-Universal mapping'!$B:$B,MATCH(D309,'Brown-Universal mapping'!$A:$A,0))</f>
        <v>CONJ</v>
      </c>
      <c r="I309" s="5" t="s">
        <v>26</v>
      </c>
      <c r="J309" s="5" t="str">
        <f>INDEX('Brown tagset'!$B:$B,MATCH(IF(ISERROR(FIND("-",I309)),IF(ISERROR(FIND("+",I309)),I309,LEFT(I309,FIND("+",I309)-1)),LEFT(I309,FIND("-",I309)-1)),'Brown tagset'!$A:$A,0))</f>
        <v>coordinating conjunction (and, or)</v>
      </c>
      <c r="K309" s="5" t="s">
        <v>27</v>
      </c>
      <c r="L309" s="5" t="str">
        <f>INDEX('Brown-Universal mapping'!$B:$B,MATCH(I309,'Brown-Universal mapping'!$A:$A,0))</f>
        <v>CONJ</v>
      </c>
      <c r="M309" s="5">
        <f t="shared" si="44"/>
        <v>1</v>
      </c>
      <c r="N309" s="5">
        <f t="shared" si="45"/>
        <v>1</v>
      </c>
      <c r="P309" s="12" t="s">
        <v>55</v>
      </c>
      <c r="Q309" s="7" t="s">
        <v>293</v>
      </c>
      <c r="R309" s="7" t="str">
        <f>INDEX('Brown tagset'!$B:$B,MATCH(IF(ISERROR(FIND("-",Q309)),IF(ISERROR(FIND("+",Q309)),Q309,LEFT(Q309,FIND("+",Q309)-1)),LEFT(Q309,FIND("-",Q309)-1)),'Brown tagset'!$A:$A,0))</f>
        <v>coordinating conjunction (and, or)</v>
      </c>
      <c r="S309" s="7"/>
      <c r="T309" s="7" t="str">
        <f>INDEX('Brown-Universal mapping'!$B:$B,MATCH(Q309,'Brown-Universal mapping'!$A:$A,0))</f>
        <v>CONJ</v>
      </c>
      <c r="U309" s="7">
        <f t="shared" si="46"/>
        <v>1</v>
      </c>
      <c r="V309" s="7">
        <f t="shared" si="47"/>
        <v>1</v>
      </c>
      <c r="X309" s="12" t="s">
        <v>55</v>
      </c>
      <c r="Y309" s="7" t="s">
        <v>293</v>
      </c>
      <c r="Z309" s="7" t="str">
        <f>INDEX('Brown tagset'!$B:$B,MATCH(IF(ISERROR(FIND("-",Y309)),IF(ISERROR(FIND("+",Y309)),Y309,LEFT(Y309,FIND("+",Y309)-1)),LEFT(Y309,FIND("-",Y309)-1)),'Brown tagset'!$A:$A,0))</f>
        <v>coordinating conjunction (and, or)</v>
      </c>
      <c r="AA309" s="7"/>
      <c r="AB309" s="7" t="str">
        <f>INDEX('Brown-Universal mapping'!$B:$B,MATCH(Y309,'Brown-Universal mapping'!$A:$A,0))</f>
        <v>CONJ</v>
      </c>
      <c r="AC309" s="7">
        <f t="shared" si="50"/>
        <v>1</v>
      </c>
      <c r="AD309" s="7">
        <f t="shared" si="51"/>
        <v>1</v>
      </c>
      <c r="AF309" s="9" t="s">
        <v>26</v>
      </c>
      <c r="AG309" s="9" t="str">
        <f>INDEX('Brown tagset'!$B:$B,MATCH(IF(ISERROR(FIND("-",AF309)),IF(ISERROR(FIND("+",AF309)),AF309,LEFT(AF309,FIND("+",AF309)-1)),LEFT(AF309,FIND("-",AF309)-1)),'Brown tagset'!$A:$A,0))</f>
        <v>coordinating conjunction (and, or)</v>
      </c>
      <c r="AH309" s="9" t="s">
        <v>27</v>
      </c>
      <c r="AI309" s="9" t="str">
        <f>INDEX('Brown-Universal mapping'!$B:$B,MATCH(AF309,'Brown-Universal mapping'!$A:$A,0))</f>
        <v>CONJ</v>
      </c>
      <c r="AJ309" s="9">
        <f t="shared" si="48"/>
        <v>1</v>
      </c>
      <c r="AK309" s="9">
        <f t="shared" si="49"/>
        <v>1</v>
      </c>
      <c r="AM309" s="6">
        <f t="shared" si="52"/>
        <v>3</v>
      </c>
      <c r="AN309" s="6">
        <f t="shared" si="53"/>
        <v>3</v>
      </c>
      <c r="AP309" s="6" t="str">
        <f t="shared" si="54"/>
        <v>coordinating conjunction (and, or)3</v>
      </c>
    </row>
    <row r="310" spans="1:42" x14ac:dyDescent="0.25">
      <c r="A310" s="4" t="s">
        <v>250</v>
      </c>
      <c r="D310" s="3" t="s">
        <v>103</v>
      </c>
      <c r="E310" s="3" t="str">
        <f>INDEX('Brown tagset'!$B:$B,MATCH(IF(ISERROR(FIND("-",D310)),IF(ISERROR(FIND("+",D310)),D310,LEFT(D310,FIND("+",D310)-1)),LEFT(D310,FIND("-",D310)-1)),'Brown tagset'!$A:$A,0))</f>
        <v>post-determiner (many, several, next)</v>
      </c>
      <c r="F310" s="3"/>
      <c r="G310" s="3" t="str">
        <f>INDEX('Brown-Universal mapping'!$B:$B,MATCH(D310,'Brown-Universal mapping'!$A:$A,0))</f>
        <v>ADJ</v>
      </c>
      <c r="I310" s="5" t="s">
        <v>103</v>
      </c>
      <c r="J310" s="5" t="str">
        <f>INDEX('Brown tagset'!$B:$B,MATCH(IF(ISERROR(FIND("-",I310)),IF(ISERROR(FIND("+",I310)),I310,LEFT(I310,FIND("+",I310)-1)),LEFT(I310,FIND("-",I310)-1)),'Brown tagset'!$A:$A,0))</f>
        <v>post-determiner (many, several, next)</v>
      </c>
      <c r="K310" s="5" t="s">
        <v>2</v>
      </c>
      <c r="L310" s="5" t="str">
        <f>INDEX('Brown-Universal mapping'!$B:$B,MATCH(I310,'Brown-Universal mapping'!$A:$A,0))</f>
        <v>ADJ</v>
      </c>
      <c r="M310" s="5">
        <f t="shared" si="44"/>
        <v>1</v>
      </c>
      <c r="N310" s="5">
        <f t="shared" si="45"/>
        <v>1</v>
      </c>
      <c r="P310" s="12" t="s">
        <v>250</v>
      </c>
      <c r="Q310" s="7" t="s">
        <v>332</v>
      </c>
      <c r="R310" s="7" t="str">
        <f>INDEX('Brown tagset'!$B:$B,MATCH(IF(ISERROR(FIND("-",Q310)),IF(ISERROR(FIND("+",Q310)),Q310,LEFT(Q310,FIND("+",Q310)-1)),LEFT(Q310,FIND("-",Q310)-1)),'Brown tagset'!$A:$A,0))</f>
        <v>post-determiner (many, several, next)</v>
      </c>
      <c r="S310" s="7"/>
      <c r="T310" s="7" t="str">
        <f>INDEX('Brown-Universal mapping'!$B:$B,MATCH(Q310,'Brown-Universal mapping'!$A:$A,0))</f>
        <v>ADJ</v>
      </c>
      <c r="U310" s="7">
        <f t="shared" si="46"/>
        <v>1</v>
      </c>
      <c r="V310" s="7">
        <f t="shared" si="47"/>
        <v>1</v>
      </c>
      <c r="X310" s="12" t="s">
        <v>250</v>
      </c>
      <c r="Y310" s="7" t="s">
        <v>332</v>
      </c>
      <c r="Z310" s="7" t="str">
        <f>INDEX('Brown tagset'!$B:$B,MATCH(IF(ISERROR(FIND("-",Y310)),IF(ISERROR(FIND("+",Y310)),Y310,LEFT(Y310,FIND("+",Y310)-1)),LEFT(Y310,FIND("-",Y310)-1)),'Brown tagset'!$A:$A,0))</f>
        <v>post-determiner (many, several, next)</v>
      </c>
      <c r="AA310" s="7"/>
      <c r="AB310" s="7" t="str">
        <f>INDEX('Brown-Universal mapping'!$B:$B,MATCH(Y310,'Brown-Universal mapping'!$A:$A,0))</f>
        <v>ADJ</v>
      </c>
      <c r="AC310" s="7">
        <f t="shared" si="50"/>
        <v>1</v>
      </c>
      <c r="AD310" s="7">
        <f t="shared" si="51"/>
        <v>1</v>
      </c>
      <c r="AF310" s="9" t="s">
        <v>103</v>
      </c>
      <c r="AG310" s="9" t="str">
        <f>INDEX('Brown tagset'!$B:$B,MATCH(IF(ISERROR(FIND("-",AF310)),IF(ISERROR(FIND("+",AF310)),AF310,LEFT(AF310,FIND("+",AF310)-1)),LEFT(AF310,FIND("-",AF310)-1)),'Brown tagset'!$A:$A,0))</f>
        <v>post-determiner (many, several, next)</v>
      </c>
      <c r="AH310" s="9" t="s">
        <v>2</v>
      </c>
      <c r="AI310" s="9" t="str">
        <f>INDEX('Brown-Universal mapping'!$B:$B,MATCH(AF310,'Brown-Universal mapping'!$A:$A,0))</f>
        <v>ADJ</v>
      </c>
      <c r="AJ310" s="9">
        <f t="shared" si="48"/>
        <v>1</v>
      </c>
      <c r="AK310" s="9">
        <f t="shared" si="49"/>
        <v>1</v>
      </c>
      <c r="AM310" s="6">
        <f t="shared" si="52"/>
        <v>3</v>
      </c>
      <c r="AN310" s="6">
        <f t="shared" si="53"/>
        <v>3</v>
      </c>
      <c r="AP310" s="6" t="str">
        <f t="shared" si="54"/>
        <v>post-determiner (many, several, next)3</v>
      </c>
    </row>
    <row r="311" spans="1:42" x14ac:dyDescent="0.25">
      <c r="A311" s="4" t="s">
        <v>92</v>
      </c>
      <c r="D311" s="3" t="s">
        <v>92</v>
      </c>
      <c r="E311" s="3" t="str">
        <f>INDEX('Brown tagset'!$B:$B,MATCH(IF(ISERROR(FIND("-",D311)),IF(ISERROR(FIND("+",D311)),D311,LEFT(D311,FIND("+",D311)-1)),LEFT(D311,FIND("-",D311)-1)),'Brown tagset'!$A:$A,0))</f>
        <v>right paren</v>
      </c>
      <c r="F311" s="3"/>
      <c r="G311" s="3" t="str">
        <f>INDEX('Brown-Universal mapping'!$B:$B,MATCH(D311,'Brown-Universal mapping'!$A:$A,0))</f>
        <v>.</v>
      </c>
      <c r="I311" s="5" t="s">
        <v>92</v>
      </c>
      <c r="J311" s="5" t="str">
        <f>INDEX('Brown tagset'!$B:$B,MATCH(IF(ISERROR(FIND("-",I311)),IF(ISERROR(FIND("+",I311)),I311,LEFT(I311,FIND("+",I311)-1)),LEFT(I311,FIND("-",I311)-1)),'Brown tagset'!$A:$A,0))</f>
        <v>right paren</v>
      </c>
      <c r="K311" s="5" t="s">
        <v>38</v>
      </c>
      <c r="L311" s="5" t="str">
        <f>INDEX('Brown-Universal mapping'!$B:$B,MATCH(I311,'Brown-Universal mapping'!$A:$A,0))</f>
        <v>.</v>
      </c>
      <c r="M311" s="5">
        <f t="shared" si="44"/>
        <v>1</v>
      </c>
      <c r="N311" s="5">
        <f t="shared" si="45"/>
        <v>1</v>
      </c>
      <c r="P311" s="12" t="s">
        <v>309</v>
      </c>
      <c r="Q311" s="7" t="s">
        <v>289</v>
      </c>
      <c r="R311" s="7" t="str">
        <f>INDEX('Brown tagset'!$B:$B,MATCH(IF(ISERROR(FIND("-",Q311)),IF(ISERROR(FIND("+",Q311)),Q311,LEFT(Q311,FIND("+",Q311)-1)),LEFT(Q311,FIND("-",Q311)-1)),'Brown tagset'!$A:$A,0))</f>
        <v>singular or mass noun</v>
      </c>
      <c r="S311" s="7"/>
      <c r="T311" s="7" t="str">
        <f>INDEX('Brown-Universal mapping'!$B:$B,MATCH(Q311,'Brown-Universal mapping'!$A:$A,0))</f>
        <v>NOUN</v>
      </c>
      <c r="U311" s="7">
        <f t="shared" si="46"/>
        <v>0</v>
      </c>
      <c r="V311" s="7">
        <f t="shared" si="47"/>
        <v>0</v>
      </c>
      <c r="X311" s="12" t="s">
        <v>92</v>
      </c>
      <c r="Y311" s="7" t="s">
        <v>92</v>
      </c>
      <c r="Z311" s="7" t="str">
        <f>INDEX('Brown tagset'!$B:$B,MATCH(IF(ISERROR(FIND("-",Y311)),IF(ISERROR(FIND("+",Y311)),Y311,LEFT(Y311,FIND("+",Y311)-1)),LEFT(Y311,FIND("-",Y311)-1)),'Brown tagset'!$A:$A,0))</f>
        <v>right paren</v>
      </c>
      <c r="AA311" s="7"/>
      <c r="AB311" s="7" t="str">
        <f>INDEX('Brown-Universal mapping'!$B:$B,MATCH(Y311,'Brown-Universal mapping'!$A:$A,0))</f>
        <v>.</v>
      </c>
      <c r="AC311" s="7">
        <f t="shared" si="50"/>
        <v>1</v>
      </c>
      <c r="AD311" s="7">
        <f t="shared" si="51"/>
        <v>1</v>
      </c>
      <c r="AF311" s="9" t="s">
        <v>92</v>
      </c>
      <c r="AG311" s="9" t="str">
        <f>INDEX('Brown tagset'!$B:$B,MATCH(IF(ISERROR(FIND("-",AF311)),IF(ISERROR(FIND("+",AF311)),AF311,LEFT(AF311,FIND("+",AF311)-1)),LEFT(AF311,FIND("-",AF311)-1)),'Brown tagset'!$A:$A,0))</f>
        <v>right paren</v>
      </c>
      <c r="AH311" s="9" t="s">
        <v>38</v>
      </c>
      <c r="AI311" s="9" t="str">
        <f>INDEX('Brown-Universal mapping'!$B:$B,MATCH(AF311,'Brown-Universal mapping'!$A:$A,0))</f>
        <v>.</v>
      </c>
      <c r="AJ311" s="9">
        <f t="shared" si="48"/>
        <v>1</v>
      </c>
      <c r="AK311" s="9">
        <f t="shared" si="49"/>
        <v>1</v>
      </c>
      <c r="AM311" s="6">
        <f t="shared" si="52"/>
        <v>3</v>
      </c>
      <c r="AN311" s="6">
        <f t="shared" si="53"/>
        <v>3</v>
      </c>
      <c r="AP311" s="6" t="str">
        <f t="shared" si="54"/>
        <v>right paren3</v>
      </c>
    </row>
    <row r="312" spans="1:42" x14ac:dyDescent="0.25">
      <c r="A312" s="4" t="s">
        <v>38</v>
      </c>
      <c r="D312" s="3" t="s">
        <v>38</v>
      </c>
      <c r="E312" s="3" t="str">
        <f>INDEX('Brown tagset'!$B:$B,MATCH(IF(ISERROR(FIND("-",D312)),IF(ISERROR(FIND("+",D312)),D312,LEFT(D312,FIND("+",D312)-1)),LEFT(D312,FIND("-",D312)-1)),'Brown tagset'!$A:$A,0))</f>
        <v>sentence (. ; ? *)</v>
      </c>
      <c r="F312" s="3"/>
      <c r="G312" s="3" t="str">
        <f>INDEX('Brown-Universal mapping'!$B:$B,MATCH(D312,'Brown-Universal mapping'!$A:$A,0))</f>
        <v>.</v>
      </c>
      <c r="I312" s="5" t="s">
        <v>38</v>
      </c>
      <c r="J312" s="5" t="str">
        <f>INDEX('Brown tagset'!$B:$B,MATCH(IF(ISERROR(FIND("-",I312)),IF(ISERROR(FIND("+",I312)),I312,LEFT(I312,FIND("+",I312)-1)),LEFT(I312,FIND("-",I312)-1)),'Brown tagset'!$A:$A,0))</f>
        <v>sentence (. ; ? *)</v>
      </c>
      <c r="K312" s="5" t="s">
        <v>38</v>
      </c>
      <c r="L312" s="5" t="str">
        <f>INDEX('Brown-Universal mapping'!$B:$B,MATCH(I312,'Brown-Universal mapping'!$A:$A,0))</f>
        <v>.</v>
      </c>
      <c r="M312" s="5">
        <f t="shared" si="44"/>
        <v>1</v>
      </c>
      <c r="N312" s="5">
        <f t="shared" si="45"/>
        <v>1</v>
      </c>
      <c r="P312" s="12" t="s">
        <v>38</v>
      </c>
      <c r="Q312" s="7" t="s">
        <v>38</v>
      </c>
      <c r="R312" s="7" t="str">
        <f>INDEX('Brown tagset'!$B:$B,MATCH(IF(ISERROR(FIND("-",Q312)),IF(ISERROR(FIND("+",Q312)),Q312,LEFT(Q312,FIND("+",Q312)-1)),LEFT(Q312,FIND("-",Q312)-1)),'Brown tagset'!$A:$A,0))</f>
        <v>sentence (. ; ? *)</v>
      </c>
      <c r="S312" s="7"/>
      <c r="T312" s="7" t="str">
        <f>INDEX('Brown-Universal mapping'!$B:$B,MATCH(Q312,'Brown-Universal mapping'!$A:$A,0))</f>
        <v>.</v>
      </c>
      <c r="U312" s="7">
        <f t="shared" si="46"/>
        <v>1</v>
      </c>
      <c r="V312" s="7">
        <f t="shared" si="47"/>
        <v>1</v>
      </c>
      <c r="X312" s="12" t="s">
        <v>38</v>
      </c>
      <c r="Y312" s="7" t="s">
        <v>38</v>
      </c>
      <c r="Z312" s="7" t="str">
        <f>INDEX('Brown tagset'!$B:$B,MATCH(IF(ISERROR(FIND("-",Y312)),IF(ISERROR(FIND("+",Y312)),Y312,LEFT(Y312,FIND("+",Y312)-1)),LEFT(Y312,FIND("-",Y312)-1)),'Brown tagset'!$A:$A,0))</f>
        <v>sentence (. ; ? *)</v>
      </c>
      <c r="AA312" s="7"/>
      <c r="AB312" s="7" t="str">
        <f>INDEX('Brown-Universal mapping'!$B:$B,MATCH(Y312,'Brown-Universal mapping'!$A:$A,0))</f>
        <v>.</v>
      </c>
      <c r="AC312" s="7">
        <f t="shared" si="50"/>
        <v>1</v>
      </c>
      <c r="AD312" s="7">
        <f t="shared" si="51"/>
        <v>1</v>
      </c>
      <c r="AF312" s="9" t="s">
        <v>38</v>
      </c>
      <c r="AG312" s="9" t="str">
        <f>INDEX('Brown tagset'!$B:$B,MATCH(IF(ISERROR(FIND("-",AF312)),IF(ISERROR(FIND("+",AF312)),AF312,LEFT(AF312,FIND("+",AF312)-1)),LEFT(AF312,FIND("-",AF312)-1)),'Brown tagset'!$A:$A,0))</f>
        <v>sentence (. ; ? *)</v>
      </c>
      <c r="AH312" s="9" t="s">
        <v>38</v>
      </c>
      <c r="AI312" s="9" t="str">
        <f>INDEX('Brown-Universal mapping'!$B:$B,MATCH(AF312,'Brown-Universal mapping'!$A:$A,0))</f>
        <v>.</v>
      </c>
      <c r="AJ312" s="9">
        <f t="shared" si="48"/>
        <v>1</v>
      </c>
      <c r="AK312" s="9">
        <f t="shared" si="49"/>
        <v>1</v>
      </c>
      <c r="AM312" s="6">
        <f t="shared" si="52"/>
        <v>3</v>
      </c>
      <c r="AN312" s="6">
        <f t="shared" si="53"/>
        <v>3</v>
      </c>
      <c r="AP312" s="6" t="str">
        <f t="shared" si="54"/>
        <v>sentence (. ; ? *)3</v>
      </c>
    </row>
    <row r="313" spans="1:42" x14ac:dyDescent="0.25">
      <c r="A313" s="4" t="s">
        <v>251</v>
      </c>
      <c r="D313" s="3" t="s">
        <v>252</v>
      </c>
      <c r="E313" s="3" t="str">
        <f>INDEX('Brown tagset'!$B:$B,MATCH(IF(ISERROR(FIND("-",D313)),IF(ISERROR(FIND("+",D313)),D313,LEFT(D313,FIND("+",D313)-1)),LEFT(D313,FIND("-",D313)-1)),'Brown tagset'!$A:$A,0))</f>
        <v>existential there</v>
      </c>
      <c r="F313" s="3"/>
      <c r="G313" s="3" t="str">
        <f>INDEX('Brown-Universal mapping'!$B:$B,MATCH(D313,'Brown-Universal mapping'!$A:$A,0))</f>
        <v>PRT</v>
      </c>
      <c r="I313" s="5" t="s">
        <v>252</v>
      </c>
      <c r="J313" s="5" t="str">
        <f>INDEX('Brown tagset'!$B:$B,MATCH(IF(ISERROR(FIND("-",I313)),IF(ISERROR(FIND("+",I313)),I313,LEFT(I313,FIND("+",I313)-1)),LEFT(I313,FIND("-",I313)-1)),'Brown tagset'!$A:$A,0))</f>
        <v>existential there</v>
      </c>
      <c r="K313" s="5" t="s">
        <v>2</v>
      </c>
      <c r="L313" s="5" t="str">
        <f>INDEX('Brown-Universal mapping'!$B:$B,MATCH(I313,'Brown-Universal mapping'!$A:$A,0))</f>
        <v>PRT</v>
      </c>
      <c r="M313" s="5">
        <f t="shared" si="44"/>
        <v>1</v>
      </c>
      <c r="N313" s="5">
        <f t="shared" si="45"/>
        <v>1</v>
      </c>
      <c r="P313" s="12" t="s">
        <v>334</v>
      </c>
      <c r="Q313" s="7" t="s">
        <v>335</v>
      </c>
      <c r="R313" s="7" t="str">
        <f>INDEX('Brown tagset'!$B:$B,MATCH(IF(ISERROR(FIND("-",Q313)),IF(ISERROR(FIND("+",Q313)),Q313,LEFT(Q313,FIND("+",Q313)-1)),LEFT(Q313,FIND("-",Q313)-1)),'Brown tagset'!$A:$A,0))</f>
        <v>existential there</v>
      </c>
      <c r="S313" s="7"/>
      <c r="T313" s="7" t="str">
        <f>INDEX('Brown-Universal mapping'!$B:$B,MATCH(Q313,'Brown-Universal mapping'!$A:$A,0))</f>
        <v>PRT</v>
      </c>
      <c r="U313" s="7">
        <f t="shared" si="46"/>
        <v>0</v>
      </c>
      <c r="V313" s="7">
        <f t="shared" si="47"/>
        <v>1</v>
      </c>
      <c r="X313" s="12" t="s">
        <v>251</v>
      </c>
      <c r="Y313" s="7" t="s">
        <v>873</v>
      </c>
      <c r="Z313" s="7" t="str">
        <f>INDEX('Brown tagset'!$B:$B,MATCH(IF(ISERROR(FIND("-",Y313)),IF(ISERROR(FIND("+",Y313)),Y313,LEFT(Y313,FIND("+",Y313)-1)),LEFT(Y313,FIND("-",Y313)-1)),'Brown tagset'!$A:$A,0))</f>
        <v>existential there</v>
      </c>
      <c r="AA313" s="7"/>
      <c r="AB313" s="7" t="str">
        <f>INDEX('Brown-Universal mapping'!$B:$B,MATCH(Y313,'Brown-Universal mapping'!$A:$A,0))</f>
        <v>PRT</v>
      </c>
      <c r="AC313" s="7">
        <f t="shared" si="50"/>
        <v>1</v>
      </c>
      <c r="AD313" s="7">
        <f t="shared" si="51"/>
        <v>1</v>
      </c>
      <c r="AF313" s="9" t="s">
        <v>252</v>
      </c>
      <c r="AG313" s="9" t="str">
        <f>INDEX('Brown tagset'!$B:$B,MATCH(IF(ISERROR(FIND("-",AF313)),IF(ISERROR(FIND("+",AF313)),AF313,LEFT(AF313,FIND("+",AF313)-1)),LEFT(AF313,FIND("-",AF313)-1)),'Brown tagset'!$A:$A,0))</f>
        <v>existential there</v>
      </c>
      <c r="AH313" s="9" t="s">
        <v>2</v>
      </c>
      <c r="AI313" s="9" t="str">
        <f>INDEX('Brown-Universal mapping'!$B:$B,MATCH(AF313,'Brown-Universal mapping'!$A:$A,0))</f>
        <v>PRT</v>
      </c>
      <c r="AJ313" s="9">
        <f t="shared" si="48"/>
        <v>1</v>
      </c>
      <c r="AK313" s="9">
        <f t="shared" si="49"/>
        <v>1</v>
      </c>
      <c r="AM313" s="6">
        <f t="shared" si="52"/>
        <v>3</v>
      </c>
      <c r="AN313" s="6">
        <f t="shared" si="53"/>
        <v>3</v>
      </c>
      <c r="AP313" s="6" t="str">
        <f t="shared" si="54"/>
        <v>existential there3</v>
      </c>
    </row>
    <row r="314" spans="1:42" x14ac:dyDescent="0.25">
      <c r="A314" s="25" t="s">
        <v>253</v>
      </c>
      <c r="B314" s="25"/>
      <c r="D314" s="3" t="s">
        <v>66</v>
      </c>
      <c r="E314" s="3" t="str">
        <f>INDEX('Brown tagset'!$B:$B,MATCH(IF(ISERROR(FIND("-",D314)),IF(ISERROR(FIND("+",D314)),D314,LEFT(D314,FIND("+",D314)-1)),LEFT(D314,FIND("-",D314)-1)),'Brown tagset'!$A:$A,0))</f>
        <v>proper noun or part of name phrase</v>
      </c>
      <c r="F314" s="3"/>
      <c r="G314" s="3" t="str">
        <f>INDEX('Brown-Universal mapping'!$B:$B,MATCH(D314,'Brown-Universal mapping'!$A:$A,0))</f>
        <v>NOUN</v>
      </c>
      <c r="I314" s="5" t="s">
        <v>66</v>
      </c>
      <c r="J314" s="5" t="str">
        <f>INDEX('Brown tagset'!$B:$B,MATCH(IF(ISERROR(FIND("-",I314)),IF(ISERROR(FIND("+",I314)),I314,LEFT(I314,FIND("+",I314)-1)),LEFT(I314,FIND("-",I314)-1)),'Brown tagset'!$A:$A,0))</f>
        <v>proper noun or part of name phrase</v>
      </c>
      <c r="K314" s="5" t="s">
        <v>13</v>
      </c>
      <c r="L314" s="5" t="str">
        <f>INDEX('Brown-Universal mapping'!$B:$B,MATCH(I314,'Brown-Universal mapping'!$A:$A,0))</f>
        <v>NOUN</v>
      </c>
      <c r="M314" s="5">
        <f t="shared" si="44"/>
        <v>1</v>
      </c>
      <c r="N314" s="5">
        <f t="shared" si="45"/>
        <v>1</v>
      </c>
      <c r="P314" s="12" t="s">
        <v>253</v>
      </c>
      <c r="Q314" s="7" t="s">
        <v>287</v>
      </c>
      <c r="R314" s="7" t="str">
        <f>INDEX('Brown tagset'!$B:$B,MATCH(IF(ISERROR(FIND("-",Q314)),IF(ISERROR(FIND("+",Q314)),Q314,LEFT(Q314,FIND("+",Q314)-1)),LEFT(Q314,FIND("-",Q314)-1)),'Brown tagset'!$A:$A,0))</f>
        <v>proper noun or part of name phrase</v>
      </c>
      <c r="S314" s="7"/>
      <c r="T314" s="7" t="str">
        <f>INDEX('Brown-Universal mapping'!$B:$B,MATCH(Q314,'Brown-Universal mapping'!$A:$A,0))</f>
        <v>NOUN</v>
      </c>
      <c r="U314" s="7">
        <f t="shared" si="46"/>
        <v>1</v>
      </c>
      <c r="V314" s="7">
        <f t="shared" si="47"/>
        <v>1</v>
      </c>
      <c r="X314" s="12" t="s">
        <v>253</v>
      </c>
      <c r="Y314" s="7" t="s">
        <v>287</v>
      </c>
      <c r="Z314" s="7" t="str">
        <f>INDEX('Brown tagset'!$B:$B,MATCH(IF(ISERROR(FIND("-",Y314)),IF(ISERROR(FIND("+",Y314)),Y314,LEFT(Y314,FIND("+",Y314)-1)),LEFT(Y314,FIND("-",Y314)-1)),'Brown tagset'!$A:$A,0))</f>
        <v>proper noun or part of name phrase</v>
      </c>
      <c r="AA314" s="7"/>
      <c r="AB314" s="7" t="str">
        <f>INDEX('Brown-Universal mapping'!$B:$B,MATCH(Y314,'Brown-Universal mapping'!$A:$A,0))</f>
        <v>NOUN</v>
      </c>
      <c r="AC314" s="7">
        <f t="shared" si="50"/>
        <v>1</v>
      </c>
      <c r="AD314" s="7">
        <f t="shared" si="51"/>
        <v>1</v>
      </c>
      <c r="AF314" s="9" t="s">
        <v>340</v>
      </c>
      <c r="AG314" s="9" t="str">
        <f>INDEX('Brown tagset'!$B:$B,MATCH(IF(ISERROR(FIND("-",AF314)),IF(ISERROR(FIND("+",AF314)),AF314,LEFT(AF314,FIND("+",AF314)-1)),LEFT(AF314,FIND("-",AF314)-1)),'Brown tagset'!$A:$A,0))</f>
        <v>unknown</v>
      </c>
      <c r="AH314" s="9" t="s">
        <v>2</v>
      </c>
      <c r="AI314" s="9" t="str">
        <f>INDEX('Brown-Universal mapping'!$B:$B,MATCH(AF314,'Brown-Universal mapping'!$A:$A,0))</f>
        <v>Unknown</v>
      </c>
      <c r="AJ314" s="9">
        <f t="shared" si="48"/>
        <v>0</v>
      </c>
      <c r="AK314" s="9">
        <f t="shared" si="49"/>
        <v>0</v>
      </c>
      <c r="AM314" s="6">
        <f t="shared" si="52"/>
        <v>2</v>
      </c>
      <c r="AN314" s="6">
        <f t="shared" si="53"/>
        <v>2</v>
      </c>
      <c r="AP314" s="6" t="str">
        <f t="shared" si="54"/>
        <v>unknown2</v>
      </c>
    </row>
    <row r="315" spans="1:42" x14ac:dyDescent="0.25">
      <c r="A315" s="25" t="s">
        <v>254</v>
      </c>
      <c r="B315" s="25"/>
      <c r="D315" s="3" t="s">
        <v>66</v>
      </c>
      <c r="E315" s="3" t="str">
        <f>INDEX('Brown tagset'!$B:$B,MATCH(IF(ISERROR(FIND("-",D315)),IF(ISERROR(FIND("+",D315)),D315,LEFT(D315,FIND("+",D315)-1)),LEFT(D315,FIND("-",D315)-1)),'Brown tagset'!$A:$A,0))</f>
        <v>proper noun or part of name phrase</v>
      </c>
      <c r="F315" s="3"/>
      <c r="G315" s="3" t="str">
        <f>INDEX('Brown-Universal mapping'!$B:$B,MATCH(D315,'Brown-Universal mapping'!$A:$A,0))</f>
        <v>NOUN</v>
      </c>
      <c r="I315" s="5" t="s">
        <v>66</v>
      </c>
      <c r="J315" s="5" t="str">
        <f>INDEX('Brown tagset'!$B:$B,MATCH(IF(ISERROR(FIND("-",I315)),IF(ISERROR(FIND("+",I315)),I315,LEFT(I315,FIND("+",I315)-1)),LEFT(I315,FIND("-",I315)-1)),'Brown tagset'!$A:$A,0))</f>
        <v>proper noun or part of name phrase</v>
      </c>
      <c r="K315" s="5" t="s">
        <v>13</v>
      </c>
      <c r="L315" s="5" t="str">
        <f>INDEX('Brown-Universal mapping'!$B:$B,MATCH(I315,'Brown-Universal mapping'!$A:$A,0))</f>
        <v>NOUN</v>
      </c>
      <c r="M315" s="5">
        <f t="shared" si="44"/>
        <v>1</v>
      </c>
      <c r="N315" s="5">
        <f t="shared" si="45"/>
        <v>1</v>
      </c>
      <c r="P315" s="12" t="s">
        <v>254</v>
      </c>
      <c r="Q315" s="7" t="s">
        <v>287</v>
      </c>
      <c r="R315" s="7" t="str">
        <f>INDEX('Brown tagset'!$B:$B,MATCH(IF(ISERROR(FIND("-",Q315)),IF(ISERROR(FIND("+",Q315)),Q315,LEFT(Q315,FIND("+",Q315)-1)),LEFT(Q315,FIND("-",Q315)-1)),'Brown tagset'!$A:$A,0))</f>
        <v>proper noun or part of name phrase</v>
      </c>
      <c r="S315" s="7"/>
      <c r="T315" s="7" t="str">
        <f>INDEX('Brown-Universal mapping'!$B:$B,MATCH(Q315,'Brown-Universal mapping'!$A:$A,0))</f>
        <v>NOUN</v>
      </c>
      <c r="U315" s="7">
        <f t="shared" si="46"/>
        <v>1</v>
      </c>
      <c r="V315" s="7">
        <f t="shared" si="47"/>
        <v>1</v>
      </c>
      <c r="X315" s="12" t="s">
        <v>254</v>
      </c>
      <c r="Y315" s="7" t="s">
        <v>287</v>
      </c>
      <c r="Z315" s="7" t="str">
        <f>INDEX('Brown tagset'!$B:$B,MATCH(IF(ISERROR(FIND("-",Y315)),IF(ISERROR(FIND("+",Y315)),Y315,LEFT(Y315,FIND("+",Y315)-1)),LEFT(Y315,FIND("-",Y315)-1)),'Brown tagset'!$A:$A,0))</f>
        <v>proper noun or part of name phrase</v>
      </c>
      <c r="AA315" s="7"/>
      <c r="AB315" s="7" t="str">
        <f>INDEX('Brown-Universal mapping'!$B:$B,MATCH(Y315,'Brown-Universal mapping'!$A:$A,0))</f>
        <v>NOUN</v>
      </c>
      <c r="AC315" s="7">
        <f t="shared" si="50"/>
        <v>1</v>
      </c>
      <c r="AD315" s="7">
        <f t="shared" si="51"/>
        <v>1</v>
      </c>
      <c r="AF315" s="9" t="s">
        <v>340</v>
      </c>
      <c r="AG315" s="9" t="str">
        <f>INDEX('Brown tagset'!$B:$B,MATCH(IF(ISERROR(FIND("-",AF315)),IF(ISERROR(FIND("+",AF315)),AF315,LEFT(AF315,FIND("+",AF315)-1)),LEFT(AF315,FIND("-",AF315)-1)),'Brown tagset'!$A:$A,0))</f>
        <v>unknown</v>
      </c>
      <c r="AH315" s="9" t="s">
        <v>2</v>
      </c>
      <c r="AI315" s="9" t="str">
        <f>INDEX('Brown-Universal mapping'!$B:$B,MATCH(AF315,'Brown-Universal mapping'!$A:$A,0))</f>
        <v>Unknown</v>
      </c>
      <c r="AJ315" s="9">
        <f t="shared" si="48"/>
        <v>0</v>
      </c>
      <c r="AK315" s="9">
        <f t="shared" si="49"/>
        <v>0</v>
      </c>
      <c r="AM315" s="6">
        <f t="shared" si="52"/>
        <v>2</v>
      </c>
      <c r="AN315" s="6">
        <f t="shared" si="53"/>
        <v>2</v>
      </c>
      <c r="AP315" s="6" t="str">
        <f t="shared" si="54"/>
        <v>unknown2</v>
      </c>
    </row>
    <row r="316" spans="1:42" x14ac:dyDescent="0.25">
      <c r="A316" s="4" t="s">
        <v>118</v>
      </c>
      <c r="D316" s="3" t="s">
        <v>119</v>
      </c>
      <c r="E316" s="3" t="str">
        <f>INDEX('Brown tagset'!$B:$B,MATCH(IF(ISERROR(FIND("-",D316)),IF(ISERROR(FIND("+",D316)),D316,LEFT(D316,FIND("+",D316)-1)),LEFT(D316,FIND("-",D316)-1)),'Brown tagset'!$A:$A,0))</f>
        <v>nominative wh- pronoun (who, which, that)</v>
      </c>
      <c r="F316" s="3"/>
      <c r="G316" s="3" t="str">
        <f>INDEX('Brown-Universal mapping'!$B:$B,MATCH(D316,'Brown-Universal mapping'!$A:$A,0))</f>
        <v>PRON</v>
      </c>
      <c r="I316" s="5" t="s">
        <v>119</v>
      </c>
      <c r="J316" s="5" t="str">
        <f>INDEX('Brown tagset'!$B:$B,MATCH(IF(ISERROR(FIND("-",I316)),IF(ISERROR(FIND("+",I316)),I316,LEFT(I316,FIND("+",I316)-1)),LEFT(I316,FIND("-",I316)-1)),'Brown tagset'!$A:$A,0))</f>
        <v>nominative wh- pronoun (who, which, that)</v>
      </c>
      <c r="K316" s="5" t="s">
        <v>2</v>
      </c>
      <c r="L316" s="5" t="str">
        <f>INDEX('Brown-Universal mapping'!$B:$B,MATCH(I316,'Brown-Universal mapping'!$A:$A,0))</f>
        <v>PRON</v>
      </c>
      <c r="M316" s="5">
        <f t="shared" si="44"/>
        <v>1</v>
      </c>
      <c r="N316" s="5">
        <f t="shared" si="45"/>
        <v>1</v>
      </c>
      <c r="P316" s="12" t="s">
        <v>118</v>
      </c>
      <c r="Q316" s="7" t="s">
        <v>317</v>
      </c>
      <c r="R316" s="7" t="str">
        <f>INDEX('Brown tagset'!$B:$B,MATCH(IF(ISERROR(FIND("-",Q316)),IF(ISERROR(FIND("+",Q316)),Q316,LEFT(Q316,FIND("+",Q316)-1)),LEFT(Q316,FIND("-",Q316)-1)),'Brown tagset'!$A:$A,0))</f>
        <v>nominative wh- pronoun (who, which, that)</v>
      </c>
      <c r="S316" s="7"/>
      <c r="T316" s="7" t="str">
        <f>INDEX('Brown-Universal mapping'!$B:$B,MATCH(Q316,'Brown-Universal mapping'!$A:$A,0))</f>
        <v>PRON</v>
      </c>
      <c r="U316" s="7">
        <f t="shared" si="46"/>
        <v>1</v>
      </c>
      <c r="V316" s="7">
        <f t="shared" si="47"/>
        <v>1</v>
      </c>
      <c r="X316" s="12" t="s">
        <v>118</v>
      </c>
      <c r="Y316" s="7" t="s">
        <v>317</v>
      </c>
      <c r="Z316" s="7" t="str">
        <f>INDEX('Brown tagset'!$B:$B,MATCH(IF(ISERROR(FIND("-",Y316)),IF(ISERROR(FIND("+",Y316)),Y316,LEFT(Y316,FIND("+",Y316)-1)),LEFT(Y316,FIND("-",Y316)-1)),'Brown tagset'!$A:$A,0))</f>
        <v>nominative wh- pronoun (who, which, that)</v>
      </c>
      <c r="AA316" s="7"/>
      <c r="AB316" s="7" t="str">
        <f>INDEX('Brown-Universal mapping'!$B:$B,MATCH(Y316,'Brown-Universal mapping'!$A:$A,0))</f>
        <v>PRON</v>
      </c>
      <c r="AC316" s="7">
        <f t="shared" si="50"/>
        <v>1</v>
      </c>
      <c r="AD316" s="7">
        <f t="shared" si="51"/>
        <v>1</v>
      </c>
      <c r="AF316" s="9" t="s">
        <v>119</v>
      </c>
      <c r="AG316" s="9" t="str">
        <f>INDEX('Brown tagset'!$B:$B,MATCH(IF(ISERROR(FIND("-",AF316)),IF(ISERROR(FIND("+",AF316)),AF316,LEFT(AF316,FIND("+",AF316)-1)),LEFT(AF316,FIND("-",AF316)-1)),'Brown tagset'!$A:$A,0))</f>
        <v>nominative wh- pronoun (who, which, that)</v>
      </c>
      <c r="AH316" s="9" t="s">
        <v>2</v>
      </c>
      <c r="AI316" s="9" t="str">
        <f>INDEX('Brown-Universal mapping'!$B:$B,MATCH(AF316,'Brown-Universal mapping'!$A:$A,0))</f>
        <v>PRON</v>
      </c>
      <c r="AJ316" s="9">
        <f t="shared" si="48"/>
        <v>1</v>
      </c>
      <c r="AK316" s="9">
        <f t="shared" si="49"/>
        <v>1</v>
      </c>
      <c r="AM316" s="6">
        <f t="shared" si="52"/>
        <v>3</v>
      </c>
      <c r="AN316" s="6">
        <f t="shared" si="53"/>
        <v>3</v>
      </c>
      <c r="AP316" s="6" t="str">
        <f t="shared" si="54"/>
        <v>nominative wh- pronoun (who, which, that)3</v>
      </c>
    </row>
    <row r="317" spans="1:42" x14ac:dyDescent="0.25">
      <c r="A317" s="4" t="s">
        <v>145</v>
      </c>
      <c r="D317" s="3" t="s">
        <v>146</v>
      </c>
      <c r="E317" s="3" t="str">
        <f>INDEX('Brown tagset'!$B:$B,MATCH(IF(ISERROR(FIND("-",D317)),IF(ISERROR(FIND("+",D317)),D317,LEFT(D317,FIND("+",D317)-1)),LEFT(D317,FIND("-",D317)-1)),'Brown tagset'!$A:$A,0))</f>
        <v>is</v>
      </c>
      <c r="F317" s="3"/>
      <c r="G317" s="3" t="str">
        <f>INDEX('Brown-Universal mapping'!$B:$B,MATCH(D317,'Brown-Universal mapping'!$A:$A,0))</f>
        <v>VERB</v>
      </c>
      <c r="I317" s="5" t="s">
        <v>146</v>
      </c>
      <c r="J317" s="5" t="str">
        <f>INDEX('Brown tagset'!$B:$B,MATCH(IF(ISERROR(FIND("-",I317)),IF(ISERROR(FIND("+",I317)),I317,LEFT(I317,FIND("+",I317)-1)),LEFT(I317,FIND("-",I317)-1)),'Brown tagset'!$A:$A,0))</f>
        <v>is</v>
      </c>
      <c r="K317" s="5" t="s">
        <v>2</v>
      </c>
      <c r="L317" s="5" t="str">
        <f>INDEX('Brown-Universal mapping'!$B:$B,MATCH(I317,'Brown-Universal mapping'!$A:$A,0))</f>
        <v>VERB</v>
      </c>
      <c r="M317" s="5">
        <f t="shared" si="44"/>
        <v>1</v>
      </c>
      <c r="N317" s="5">
        <f t="shared" si="45"/>
        <v>1</v>
      </c>
      <c r="P317" s="12" t="s">
        <v>145</v>
      </c>
      <c r="Q317" s="7" t="s">
        <v>321</v>
      </c>
      <c r="R317" s="7" t="str">
        <f>INDEX('Brown tagset'!$B:$B,MATCH(IF(ISERROR(FIND("-",Q317)),IF(ISERROR(FIND("+",Q317)),Q317,LEFT(Q317,FIND("+",Q317)-1)),LEFT(Q317,FIND("-",Q317)-1)),'Brown tagset'!$A:$A,0))</f>
        <v>is</v>
      </c>
      <c r="S317" s="7"/>
      <c r="T317" s="7" t="str">
        <f>INDEX('Brown-Universal mapping'!$B:$B,MATCH(Q317,'Brown-Universal mapping'!$A:$A,0))</f>
        <v>VERB</v>
      </c>
      <c r="U317" s="7">
        <f t="shared" si="46"/>
        <v>1</v>
      </c>
      <c r="V317" s="7">
        <f t="shared" si="47"/>
        <v>1</v>
      </c>
      <c r="X317" s="12" t="s">
        <v>145</v>
      </c>
      <c r="Y317" s="7" t="s">
        <v>321</v>
      </c>
      <c r="Z317" s="7" t="str">
        <f>INDEX('Brown tagset'!$B:$B,MATCH(IF(ISERROR(FIND("-",Y317)),IF(ISERROR(FIND("+",Y317)),Y317,LEFT(Y317,FIND("+",Y317)-1)),LEFT(Y317,FIND("-",Y317)-1)),'Brown tagset'!$A:$A,0))</f>
        <v>is</v>
      </c>
      <c r="AA317" s="7"/>
      <c r="AB317" s="7" t="str">
        <f>INDEX('Brown-Universal mapping'!$B:$B,MATCH(Y317,'Brown-Universal mapping'!$A:$A,0))</f>
        <v>VERB</v>
      </c>
      <c r="AC317" s="7">
        <f t="shared" si="50"/>
        <v>1</v>
      </c>
      <c r="AD317" s="7">
        <f t="shared" si="51"/>
        <v>1</v>
      </c>
      <c r="AF317" s="9" t="s">
        <v>146</v>
      </c>
      <c r="AG317" s="9" t="str">
        <f>INDEX('Brown tagset'!$B:$B,MATCH(IF(ISERROR(FIND("-",AF317)),IF(ISERROR(FIND("+",AF317)),AF317,LEFT(AF317,FIND("+",AF317)-1)),LEFT(AF317,FIND("-",AF317)-1)),'Brown tagset'!$A:$A,0))</f>
        <v>is</v>
      </c>
      <c r="AH317" s="9" t="s">
        <v>2</v>
      </c>
      <c r="AI317" s="9" t="str">
        <f>INDEX('Brown-Universal mapping'!$B:$B,MATCH(AF317,'Brown-Universal mapping'!$A:$A,0))</f>
        <v>VERB</v>
      </c>
      <c r="AJ317" s="9">
        <f t="shared" si="48"/>
        <v>1</v>
      </c>
      <c r="AK317" s="9">
        <f t="shared" si="49"/>
        <v>1</v>
      </c>
      <c r="AM317" s="6">
        <f t="shared" si="52"/>
        <v>3</v>
      </c>
      <c r="AN317" s="6">
        <f t="shared" si="53"/>
        <v>3</v>
      </c>
      <c r="AP317" s="6" t="str">
        <f t="shared" si="54"/>
        <v>is3</v>
      </c>
    </row>
    <row r="318" spans="1:42" x14ac:dyDescent="0.25">
      <c r="A318" s="4" t="s">
        <v>147</v>
      </c>
      <c r="D318" s="3" t="s">
        <v>22</v>
      </c>
      <c r="E318" s="3" t="str">
        <f>INDEX('Brown tagset'!$B:$B,MATCH(IF(ISERROR(FIND("-",D318)),IF(ISERROR(FIND("+",D318)),D318,LEFT(D318,FIND("+",D318)-1)),LEFT(D318,FIND("-",D318)-1)),'Brown tagset'!$A:$A,0))</f>
        <v>possessive personal pronoun (my, our)</v>
      </c>
      <c r="F318" s="3"/>
      <c r="G318" s="3" t="str">
        <f>INDEX('Brown-Universal mapping'!$B:$B,MATCH(D318,'Brown-Universal mapping'!$A:$A,0))</f>
        <v>DET</v>
      </c>
      <c r="I318" s="5" t="s">
        <v>22</v>
      </c>
      <c r="J318" s="5" t="str">
        <f>INDEX('Brown tagset'!$B:$B,MATCH(IF(ISERROR(FIND("-",I318)),IF(ISERROR(FIND("+",I318)),I318,LEFT(I318,FIND("+",I318)-1)),LEFT(I318,FIND("-",I318)-1)),'Brown tagset'!$A:$A,0))</f>
        <v>possessive personal pronoun (my, our)</v>
      </c>
      <c r="K318" s="5" t="s">
        <v>2</v>
      </c>
      <c r="L318" s="5" t="str">
        <f>INDEX('Brown-Universal mapping'!$B:$B,MATCH(I318,'Brown-Universal mapping'!$A:$A,0))</f>
        <v>DET</v>
      </c>
      <c r="M318" s="5">
        <f t="shared" si="44"/>
        <v>1</v>
      </c>
      <c r="N318" s="5">
        <f t="shared" si="45"/>
        <v>1</v>
      </c>
      <c r="P318" s="12" t="s">
        <v>147</v>
      </c>
      <c r="Q318" s="7" t="s">
        <v>291</v>
      </c>
      <c r="R318" s="7" t="str">
        <f>INDEX('Brown tagset'!$B:$B,MATCH(IF(ISERROR(FIND("-",Q318)),IF(ISERROR(FIND("+",Q318)),Q318,LEFT(Q318,FIND("+",Q318)-1)),LEFT(Q318,FIND("-",Q318)-1)),'Brown tagset'!$A:$A,0))</f>
        <v>possessive personal pronoun (my, our)</v>
      </c>
      <c r="S318" s="7"/>
      <c r="T318" s="7" t="str">
        <f>INDEX('Brown-Universal mapping'!$B:$B,MATCH(Q318,'Brown-Universal mapping'!$A:$A,0))</f>
        <v>DET</v>
      </c>
      <c r="U318" s="7">
        <f t="shared" si="46"/>
        <v>1</v>
      </c>
      <c r="V318" s="7">
        <f t="shared" si="47"/>
        <v>1</v>
      </c>
      <c r="X318" s="12" t="s">
        <v>147</v>
      </c>
      <c r="Y318" s="7" t="s">
        <v>291</v>
      </c>
      <c r="Z318" s="7" t="str">
        <f>INDEX('Brown tagset'!$B:$B,MATCH(IF(ISERROR(FIND("-",Y318)),IF(ISERROR(FIND("+",Y318)),Y318,LEFT(Y318,FIND("+",Y318)-1)),LEFT(Y318,FIND("-",Y318)-1)),'Brown tagset'!$A:$A,0))</f>
        <v>possessive personal pronoun (my, our)</v>
      </c>
      <c r="AA318" s="7"/>
      <c r="AB318" s="7" t="str">
        <f>INDEX('Brown-Universal mapping'!$B:$B,MATCH(Y318,'Brown-Universal mapping'!$A:$A,0))</f>
        <v>DET</v>
      </c>
      <c r="AC318" s="7">
        <f t="shared" si="50"/>
        <v>1</v>
      </c>
      <c r="AD318" s="7">
        <f t="shared" si="51"/>
        <v>1</v>
      </c>
      <c r="AF318" s="9" t="s">
        <v>22</v>
      </c>
      <c r="AG318" s="9" t="str">
        <f>INDEX('Brown tagset'!$B:$B,MATCH(IF(ISERROR(FIND("-",AF318)),IF(ISERROR(FIND("+",AF318)),AF318,LEFT(AF318,FIND("+",AF318)-1)),LEFT(AF318,FIND("-",AF318)-1)),'Brown tagset'!$A:$A,0))</f>
        <v>possessive personal pronoun (my, our)</v>
      </c>
      <c r="AH318" s="9" t="s">
        <v>2</v>
      </c>
      <c r="AI318" s="9" t="str">
        <f>INDEX('Brown-Universal mapping'!$B:$B,MATCH(AF318,'Brown-Universal mapping'!$A:$A,0))</f>
        <v>DET</v>
      </c>
      <c r="AJ318" s="9">
        <f t="shared" si="48"/>
        <v>1</v>
      </c>
      <c r="AK318" s="9">
        <f t="shared" si="49"/>
        <v>1</v>
      </c>
      <c r="AM318" s="6">
        <f t="shared" si="52"/>
        <v>3</v>
      </c>
      <c r="AN318" s="6">
        <f t="shared" si="53"/>
        <v>3</v>
      </c>
      <c r="AP318" s="6" t="str">
        <f t="shared" si="54"/>
        <v>possessive personal pronoun (my, our)3</v>
      </c>
    </row>
    <row r="319" spans="1:42" x14ac:dyDescent="0.25">
      <c r="A319" s="4" t="s">
        <v>255</v>
      </c>
      <c r="D319" s="3" t="s">
        <v>213</v>
      </c>
      <c r="E319" s="3" t="str">
        <f>INDEX('Brown tagset'!$B:$B,MATCH(IF(ISERROR(FIND("-",D319)),IF(ISERROR(FIND("+",D319)),D319,LEFT(D319,FIND("+",D319)-1)),LEFT(D319,FIND("-",D319)-1)),'Brown tagset'!$A:$A,0))</f>
        <v>morphologically superlative adjective (biggest)</v>
      </c>
      <c r="F319" s="3"/>
      <c r="G319" s="3" t="str">
        <f>INDEX('Brown-Universal mapping'!$B:$B,MATCH(D319,'Brown-Universal mapping'!$A:$A,0))</f>
        <v>ADJ</v>
      </c>
      <c r="I319" s="5" t="s">
        <v>213</v>
      </c>
      <c r="J319" s="5" t="str">
        <f>INDEX('Brown tagset'!$B:$B,MATCH(IF(ISERROR(FIND("-",I319)),IF(ISERROR(FIND("+",I319)),I319,LEFT(I319,FIND("+",I319)-1)),LEFT(I319,FIND("-",I319)-1)),'Brown tagset'!$A:$A,0))</f>
        <v>morphologically superlative adjective (biggest)</v>
      </c>
      <c r="K319" s="5" t="s">
        <v>2</v>
      </c>
      <c r="L319" s="5" t="str">
        <f>INDEX('Brown-Universal mapping'!$B:$B,MATCH(I319,'Brown-Universal mapping'!$A:$A,0))</f>
        <v>ADJ</v>
      </c>
      <c r="M319" s="5">
        <f t="shared" si="44"/>
        <v>1</v>
      </c>
      <c r="N319" s="5">
        <f t="shared" si="45"/>
        <v>1</v>
      </c>
      <c r="P319" s="12" t="s">
        <v>255</v>
      </c>
      <c r="Q319" s="7" t="s">
        <v>329</v>
      </c>
      <c r="R319" s="7" t="str">
        <f>INDEX('Brown tagset'!$B:$B,MATCH(IF(ISERROR(FIND("-",Q319)),IF(ISERROR(FIND("+",Q319)),Q319,LEFT(Q319,FIND("+",Q319)-1)),LEFT(Q319,FIND("-",Q319)-1)),'Brown tagset'!$A:$A,0))</f>
        <v>morphologically superlative adjective (biggest)</v>
      </c>
      <c r="S319" s="7"/>
      <c r="T319" s="7" t="str">
        <f>INDEX('Brown-Universal mapping'!$B:$B,MATCH(Q319,'Brown-Universal mapping'!$A:$A,0))</f>
        <v>ADJ</v>
      </c>
      <c r="U319" s="7">
        <f t="shared" si="46"/>
        <v>1</v>
      </c>
      <c r="V319" s="7">
        <f t="shared" si="47"/>
        <v>1</v>
      </c>
      <c r="X319" s="12" t="s">
        <v>255</v>
      </c>
      <c r="Y319" s="7" t="s">
        <v>329</v>
      </c>
      <c r="Z319" s="7" t="str">
        <f>INDEX('Brown tagset'!$B:$B,MATCH(IF(ISERROR(FIND("-",Y319)),IF(ISERROR(FIND("+",Y319)),Y319,LEFT(Y319,FIND("+",Y319)-1)),LEFT(Y319,FIND("-",Y319)-1)),'Brown tagset'!$A:$A,0))</f>
        <v>morphologically superlative adjective (biggest)</v>
      </c>
      <c r="AA319" s="7"/>
      <c r="AB319" s="7" t="str">
        <f>INDEX('Brown-Universal mapping'!$B:$B,MATCH(Y319,'Brown-Universal mapping'!$A:$A,0))</f>
        <v>ADJ</v>
      </c>
      <c r="AC319" s="7">
        <f t="shared" si="50"/>
        <v>1</v>
      </c>
      <c r="AD319" s="7">
        <f t="shared" si="51"/>
        <v>1</v>
      </c>
      <c r="AF319" s="9" t="s">
        <v>213</v>
      </c>
      <c r="AG319" s="9" t="str">
        <f>INDEX('Brown tagset'!$B:$B,MATCH(IF(ISERROR(FIND("-",AF319)),IF(ISERROR(FIND("+",AF319)),AF319,LEFT(AF319,FIND("+",AF319)-1)),LEFT(AF319,FIND("-",AF319)-1)),'Brown tagset'!$A:$A,0))</f>
        <v>morphologically superlative adjective (biggest)</v>
      </c>
      <c r="AH319" s="9" t="s">
        <v>2</v>
      </c>
      <c r="AI319" s="9" t="str">
        <f>INDEX('Brown-Universal mapping'!$B:$B,MATCH(AF319,'Brown-Universal mapping'!$A:$A,0))</f>
        <v>ADJ</v>
      </c>
      <c r="AJ319" s="9">
        <f t="shared" si="48"/>
        <v>1</v>
      </c>
      <c r="AK319" s="9">
        <f t="shared" si="49"/>
        <v>1</v>
      </c>
      <c r="AM319" s="6">
        <f t="shared" si="52"/>
        <v>3</v>
      </c>
      <c r="AN319" s="6">
        <f t="shared" si="53"/>
        <v>3</v>
      </c>
      <c r="AP319" s="6" t="str">
        <f t="shared" si="54"/>
        <v>morphologically superlative adjective (biggest)3</v>
      </c>
    </row>
    <row r="320" spans="1:42" x14ac:dyDescent="0.25">
      <c r="A320" s="4" t="s">
        <v>70</v>
      </c>
      <c r="D320" s="3" t="s">
        <v>66</v>
      </c>
      <c r="E320" s="3" t="str">
        <f>INDEX('Brown tagset'!$B:$B,MATCH(IF(ISERROR(FIND("-",D320)),IF(ISERROR(FIND("+",D320)),D320,LEFT(D320,FIND("+",D320)-1)),LEFT(D320,FIND("-",D320)-1)),'Brown tagset'!$A:$A,0))</f>
        <v>proper noun or part of name phrase</v>
      </c>
      <c r="F320" s="3"/>
      <c r="G320" s="3" t="str">
        <f>INDEX('Brown-Universal mapping'!$B:$B,MATCH(D320,'Brown-Universal mapping'!$A:$A,0))</f>
        <v>NOUN</v>
      </c>
      <c r="I320" s="5" t="s">
        <v>66</v>
      </c>
      <c r="J320" s="5" t="str">
        <f>INDEX('Brown tagset'!$B:$B,MATCH(IF(ISERROR(FIND("-",I320)),IF(ISERROR(FIND("+",I320)),I320,LEFT(I320,FIND("+",I320)-1)),LEFT(I320,FIND("-",I320)-1)),'Brown tagset'!$A:$A,0))</f>
        <v>proper noun or part of name phrase</v>
      </c>
      <c r="K320" s="5" t="s">
        <v>13</v>
      </c>
      <c r="L320" s="5" t="str">
        <f>INDEX('Brown-Universal mapping'!$B:$B,MATCH(I320,'Brown-Universal mapping'!$A:$A,0))</f>
        <v>NOUN</v>
      </c>
      <c r="M320" s="5">
        <f t="shared" si="44"/>
        <v>1</v>
      </c>
      <c r="N320" s="5">
        <f t="shared" si="45"/>
        <v>1</v>
      </c>
      <c r="P320" s="12" t="s">
        <v>70</v>
      </c>
      <c r="Q320" s="7" t="s">
        <v>287</v>
      </c>
      <c r="R320" s="7" t="str">
        <f>INDEX('Brown tagset'!$B:$B,MATCH(IF(ISERROR(FIND("-",Q320)),IF(ISERROR(FIND("+",Q320)),Q320,LEFT(Q320,FIND("+",Q320)-1)),LEFT(Q320,FIND("-",Q320)-1)),'Brown tagset'!$A:$A,0))</f>
        <v>proper noun or part of name phrase</v>
      </c>
      <c r="S320" s="7"/>
      <c r="T320" s="7" t="str">
        <f>INDEX('Brown-Universal mapping'!$B:$B,MATCH(Q320,'Brown-Universal mapping'!$A:$A,0))</f>
        <v>NOUN</v>
      </c>
      <c r="U320" s="7">
        <f t="shared" si="46"/>
        <v>1</v>
      </c>
      <c r="V320" s="7">
        <f t="shared" si="47"/>
        <v>1</v>
      </c>
      <c r="X320" s="12" t="s">
        <v>70</v>
      </c>
      <c r="Y320" s="7" t="s">
        <v>287</v>
      </c>
      <c r="Z320" s="7" t="str">
        <f>INDEX('Brown tagset'!$B:$B,MATCH(IF(ISERROR(FIND("-",Y320)),IF(ISERROR(FIND("+",Y320)),Y320,LEFT(Y320,FIND("+",Y320)-1)),LEFT(Y320,FIND("-",Y320)-1)),'Brown tagset'!$A:$A,0))</f>
        <v>proper noun or part of name phrase</v>
      </c>
      <c r="AA320" s="7"/>
      <c r="AB320" s="7" t="str">
        <f>INDEX('Brown-Universal mapping'!$B:$B,MATCH(Y320,'Brown-Universal mapping'!$A:$A,0))</f>
        <v>NOUN</v>
      </c>
      <c r="AC320" s="7">
        <f t="shared" si="50"/>
        <v>1</v>
      </c>
      <c r="AD320" s="7">
        <f t="shared" si="51"/>
        <v>1</v>
      </c>
      <c r="AF320" s="9" t="s">
        <v>66</v>
      </c>
      <c r="AG320" s="9" t="str">
        <f>INDEX('Brown tagset'!$B:$B,MATCH(IF(ISERROR(FIND("-",AF320)),IF(ISERROR(FIND("+",AF320)),AF320,LEFT(AF320,FIND("+",AF320)-1)),LEFT(AF320,FIND("-",AF320)-1)),'Brown tagset'!$A:$A,0))</f>
        <v>proper noun or part of name phrase</v>
      </c>
      <c r="AH320" s="9" t="s">
        <v>13</v>
      </c>
      <c r="AI320" s="9" t="str">
        <f>INDEX('Brown-Universal mapping'!$B:$B,MATCH(AF320,'Brown-Universal mapping'!$A:$A,0))</f>
        <v>NOUN</v>
      </c>
      <c r="AJ320" s="9">
        <f t="shared" si="48"/>
        <v>1</v>
      </c>
      <c r="AK320" s="9">
        <f t="shared" si="49"/>
        <v>1</v>
      </c>
      <c r="AM320" s="6">
        <f t="shared" si="52"/>
        <v>3</v>
      </c>
      <c r="AN320" s="6">
        <f t="shared" si="53"/>
        <v>3</v>
      </c>
      <c r="AP320" s="6" t="str">
        <f t="shared" si="54"/>
        <v>proper noun or part of name phrase3</v>
      </c>
    </row>
    <row r="321" spans="1:42" x14ac:dyDescent="0.25">
      <c r="A321" s="4" t="s">
        <v>151</v>
      </c>
      <c r="D321" s="3" t="s">
        <v>66</v>
      </c>
      <c r="E321" s="3" t="str">
        <f>INDEX('Brown tagset'!$B:$B,MATCH(IF(ISERROR(FIND("-",D321)),IF(ISERROR(FIND("+",D321)),D321,LEFT(D321,FIND("+",D321)-1)),LEFT(D321,FIND("-",D321)-1)),'Brown tagset'!$A:$A,0))</f>
        <v>proper noun or part of name phrase</v>
      </c>
      <c r="F321" s="3"/>
      <c r="G321" s="3" t="str">
        <f>INDEX('Brown-Universal mapping'!$B:$B,MATCH(D321,'Brown-Universal mapping'!$A:$A,0))</f>
        <v>NOUN</v>
      </c>
      <c r="I321" s="5" t="s">
        <v>66</v>
      </c>
      <c r="J321" s="5" t="str">
        <f>INDEX('Brown tagset'!$B:$B,MATCH(IF(ISERROR(FIND("-",I321)),IF(ISERROR(FIND("+",I321)),I321,LEFT(I321,FIND("+",I321)-1)),LEFT(I321,FIND("-",I321)-1)),'Brown tagset'!$A:$A,0))</f>
        <v>proper noun or part of name phrase</v>
      </c>
      <c r="K321" s="5" t="s">
        <v>13</v>
      </c>
      <c r="L321" s="5" t="str">
        <f>INDEX('Brown-Universal mapping'!$B:$B,MATCH(I321,'Brown-Universal mapping'!$A:$A,0))</f>
        <v>NOUN</v>
      </c>
      <c r="M321" s="5">
        <f t="shared" si="44"/>
        <v>1</v>
      </c>
      <c r="N321" s="5">
        <f t="shared" si="45"/>
        <v>1</v>
      </c>
      <c r="P321" s="12" t="s">
        <v>151</v>
      </c>
      <c r="Q321" s="7" t="s">
        <v>287</v>
      </c>
      <c r="R321" s="7" t="str">
        <f>INDEX('Brown tagset'!$B:$B,MATCH(IF(ISERROR(FIND("-",Q321)),IF(ISERROR(FIND("+",Q321)),Q321,LEFT(Q321,FIND("+",Q321)-1)),LEFT(Q321,FIND("-",Q321)-1)),'Brown tagset'!$A:$A,0))</f>
        <v>proper noun or part of name phrase</v>
      </c>
      <c r="S321" s="7"/>
      <c r="T321" s="7" t="str">
        <f>INDEX('Brown-Universal mapping'!$B:$B,MATCH(Q321,'Brown-Universal mapping'!$A:$A,0))</f>
        <v>NOUN</v>
      </c>
      <c r="U321" s="7">
        <f t="shared" si="46"/>
        <v>1</v>
      </c>
      <c r="V321" s="7">
        <f t="shared" si="47"/>
        <v>1</v>
      </c>
      <c r="X321" s="12" t="s">
        <v>151</v>
      </c>
      <c r="Y321" s="7" t="s">
        <v>287</v>
      </c>
      <c r="Z321" s="7" t="str">
        <f>INDEX('Brown tagset'!$B:$B,MATCH(IF(ISERROR(FIND("-",Y321)),IF(ISERROR(FIND("+",Y321)),Y321,LEFT(Y321,FIND("+",Y321)-1)),LEFT(Y321,FIND("-",Y321)-1)),'Brown tagset'!$A:$A,0))</f>
        <v>proper noun or part of name phrase</v>
      </c>
      <c r="AA321" s="7"/>
      <c r="AB321" s="7" t="str">
        <f>INDEX('Brown-Universal mapping'!$B:$B,MATCH(Y321,'Brown-Universal mapping'!$A:$A,0))</f>
        <v>NOUN</v>
      </c>
      <c r="AC321" s="7">
        <f t="shared" si="50"/>
        <v>1</v>
      </c>
      <c r="AD321" s="7">
        <f t="shared" si="51"/>
        <v>1</v>
      </c>
      <c r="AF321" s="9" t="s">
        <v>66</v>
      </c>
      <c r="AG321" s="9" t="str">
        <f>INDEX('Brown tagset'!$B:$B,MATCH(IF(ISERROR(FIND("-",AF321)),IF(ISERROR(FIND("+",AF321)),AF321,LEFT(AF321,FIND("+",AF321)-1)),LEFT(AF321,FIND("-",AF321)-1)),'Brown tagset'!$A:$A,0))</f>
        <v>proper noun or part of name phrase</v>
      </c>
      <c r="AH321" s="9" t="s">
        <v>13</v>
      </c>
      <c r="AI321" s="9" t="str">
        <f>INDEX('Brown-Universal mapping'!$B:$B,MATCH(AF321,'Brown-Universal mapping'!$A:$A,0))</f>
        <v>NOUN</v>
      </c>
      <c r="AJ321" s="9">
        <f t="shared" si="48"/>
        <v>1</v>
      </c>
      <c r="AK321" s="9">
        <f t="shared" si="49"/>
        <v>1</v>
      </c>
      <c r="AM321" s="6">
        <f t="shared" si="52"/>
        <v>3</v>
      </c>
      <c r="AN321" s="6">
        <f t="shared" si="53"/>
        <v>3</v>
      </c>
      <c r="AP321" s="6" t="str">
        <f t="shared" si="54"/>
        <v>proper noun or part of name phrase3</v>
      </c>
    </row>
    <row r="322" spans="1:42" x14ac:dyDescent="0.25">
      <c r="A322" s="4" t="s">
        <v>72</v>
      </c>
      <c r="D322" s="3" t="s">
        <v>38</v>
      </c>
      <c r="E322" s="3" t="str">
        <f>INDEX('Brown tagset'!$B:$B,MATCH(IF(ISERROR(FIND("-",D322)),IF(ISERROR(FIND("+",D322)),D322,LEFT(D322,FIND("+",D322)-1)),LEFT(D322,FIND("-",D322)-1)),'Brown tagset'!$A:$A,0))</f>
        <v>sentence (. ; ? *)</v>
      </c>
      <c r="F322" s="3"/>
      <c r="G322" s="3" t="str">
        <f>INDEX('Brown-Universal mapping'!$B:$B,MATCH(D322,'Brown-Universal mapping'!$A:$A,0))</f>
        <v>.</v>
      </c>
      <c r="I322" s="5" t="s">
        <v>38</v>
      </c>
      <c r="J322" s="5" t="str">
        <f>INDEX('Brown tagset'!$B:$B,MATCH(IF(ISERROR(FIND("-",I322)),IF(ISERROR(FIND("+",I322)),I322,LEFT(I322,FIND("+",I322)-1)),LEFT(I322,FIND("-",I322)-1)),'Brown tagset'!$A:$A,0))</f>
        <v>sentence (. ; ? *)</v>
      </c>
      <c r="K322" s="5" t="s">
        <v>38</v>
      </c>
      <c r="L322" s="5" t="str">
        <f>INDEX('Brown-Universal mapping'!$B:$B,MATCH(I322,'Brown-Universal mapping'!$A:$A,0))</f>
        <v>.</v>
      </c>
      <c r="M322" s="5">
        <f t="shared" si="44"/>
        <v>1</v>
      </c>
      <c r="N322" s="5">
        <f t="shared" si="45"/>
        <v>1</v>
      </c>
      <c r="P322" s="12" t="s">
        <v>72</v>
      </c>
      <c r="Q322" s="7" t="s">
        <v>38</v>
      </c>
      <c r="R322" s="7" t="str">
        <f>INDEX('Brown tagset'!$B:$B,MATCH(IF(ISERROR(FIND("-",Q322)),IF(ISERROR(FIND("+",Q322)),Q322,LEFT(Q322,FIND("+",Q322)-1)),LEFT(Q322,FIND("-",Q322)-1)),'Brown tagset'!$A:$A,0))</f>
        <v>sentence (. ; ? *)</v>
      </c>
      <c r="S322" s="7"/>
      <c r="T322" s="7" t="str">
        <f>INDEX('Brown-Universal mapping'!$B:$B,MATCH(Q322,'Brown-Universal mapping'!$A:$A,0))</f>
        <v>.</v>
      </c>
      <c r="U322" s="7">
        <f t="shared" si="46"/>
        <v>1</v>
      </c>
      <c r="V322" s="7">
        <f t="shared" si="47"/>
        <v>1</v>
      </c>
      <c r="X322" s="12" t="s">
        <v>72</v>
      </c>
      <c r="Y322" s="7" t="s">
        <v>38</v>
      </c>
      <c r="Z322" s="7" t="str">
        <f>INDEX('Brown tagset'!$B:$B,MATCH(IF(ISERROR(FIND("-",Y322)),IF(ISERROR(FIND("+",Y322)),Y322,LEFT(Y322,FIND("+",Y322)-1)),LEFT(Y322,FIND("-",Y322)-1)),'Brown tagset'!$A:$A,0))</f>
        <v>sentence (. ; ? *)</v>
      </c>
      <c r="AA322" s="7"/>
      <c r="AB322" s="7" t="str">
        <f>INDEX('Brown-Universal mapping'!$B:$B,MATCH(Y322,'Brown-Universal mapping'!$A:$A,0))</f>
        <v>.</v>
      </c>
      <c r="AC322" s="7">
        <f t="shared" si="50"/>
        <v>1</v>
      </c>
      <c r="AD322" s="7">
        <f t="shared" si="51"/>
        <v>1</v>
      </c>
      <c r="AF322" s="9" t="s">
        <v>38</v>
      </c>
      <c r="AG322" s="9" t="str">
        <f>INDEX('Brown tagset'!$B:$B,MATCH(IF(ISERROR(FIND("-",AF322)),IF(ISERROR(FIND("+",AF322)),AF322,LEFT(AF322,FIND("+",AF322)-1)),LEFT(AF322,FIND("-",AF322)-1)),'Brown tagset'!$A:$A,0))</f>
        <v>sentence (. ; ? *)</v>
      </c>
      <c r="AH322" s="9" t="s">
        <v>38</v>
      </c>
      <c r="AI322" s="9" t="str">
        <f>INDEX('Brown-Universal mapping'!$B:$B,MATCH(AF322,'Brown-Universal mapping'!$A:$A,0))</f>
        <v>.</v>
      </c>
      <c r="AJ322" s="9">
        <f t="shared" si="48"/>
        <v>1</v>
      </c>
      <c r="AK322" s="9">
        <f t="shared" si="49"/>
        <v>1</v>
      </c>
      <c r="AM322" s="6">
        <f t="shared" si="52"/>
        <v>3</v>
      </c>
      <c r="AN322" s="6">
        <f t="shared" si="53"/>
        <v>3</v>
      </c>
      <c r="AP322" s="6" t="str">
        <f t="shared" si="54"/>
        <v>sentence (. ; ? *)3</v>
      </c>
    </row>
    <row r="323" spans="1:42" x14ac:dyDescent="0.25">
      <c r="A323" s="25" t="s">
        <v>256</v>
      </c>
      <c r="B323" s="25"/>
      <c r="D323" s="3" t="s">
        <v>66</v>
      </c>
      <c r="E323" s="3" t="str">
        <f>INDEX('Brown tagset'!$B:$B,MATCH(IF(ISERROR(FIND("-",D323)),IF(ISERROR(FIND("+",D323)),D323,LEFT(D323,FIND("+",D323)-1)),LEFT(D323,FIND("-",D323)-1)),'Brown tagset'!$A:$A,0))</f>
        <v>proper noun or part of name phrase</v>
      </c>
      <c r="F323" s="3"/>
      <c r="G323" s="3" t="str">
        <f>INDEX('Brown-Universal mapping'!$B:$B,MATCH(D323,'Brown-Universal mapping'!$A:$A,0))</f>
        <v>NOUN</v>
      </c>
      <c r="I323" s="5" t="s">
        <v>66</v>
      </c>
      <c r="J323" s="5" t="str">
        <f>INDEX('Brown tagset'!$B:$B,MATCH(IF(ISERROR(FIND("-",I323)),IF(ISERROR(FIND("+",I323)),I323,LEFT(I323,FIND("+",I323)-1)),LEFT(I323,FIND("-",I323)-1)),'Brown tagset'!$A:$A,0))</f>
        <v>proper noun or part of name phrase</v>
      </c>
      <c r="K323" s="5" t="s">
        <v>13</v>
      </c>
      <c r="L323" s="5" t="str">
        <f>INDEX('Brown-Universal mapping'!$B:$B,MATCH(I323,'Brown-Universal mapping'!$A:$A,0))</f>
        <v>NOUN</v>
      </c>
      <c r="M323" s="5">
        <f t="shared" si="44"/>
        <v>1</v>
      </c>
      <c r="N323" s="5">
        <f t="shared" si="45"/>
        <v>1</v>
      </c>
      <c r="P323" s="12" t="s">
        <v>256</v>
      </c>
      <c r="Q323" s="7" t="s">
        <v>287</v>
      </c>
      <c r="R323" s="7" t="str">
        <f>INDEX('Brown tagset'!$B:$B,MATCH(IF(ISERROR(FIND("-",Q323)),IF(ISERROR(FIND("+",Q323)),Q323,LEFT(Q323,FIND("+",Q323)-1)),LEFT(Q323,FIND("-",Q323)-1)),'Brown tagset'!$A:$A,0))</f>
        <v>proper noun or part of name phrase</v>
      </c>
      <c r="S323" s="7"/>
      <c r="T323" s="7" t="str">
        <f>INDEX('Brown-Universal mapping'!$B:$B,MATCH(Q323,'Brown-Universal mapping'!$A:$A,0))</f>
        <v>NOUN</v>
      </c>
      <c r="U323" s="7">
        <f t="shared" si="46"/>
        <v>1</v>
      </c>
      <c r="V323" s="7">
        <f t="shared" si="47"/>
        <v>1</v>
      </c>
      <c r="X323" s="12" t="s">
        <v>256</v>
      </c>
      <c r="Y323" s="7" t="s">
        <v>287</v>
      </c>
      <c r="Z323" s="7" t="str">
        <f>INDEX('Brown tagset'!$B:$B,MATCH(IF(ISERROR(FIND("-",Y323)),IF(ISERROR(FIND("+",Y323)),Y323,LEFT(Y323,FIND("+",Y323)-1)),LEFT(Y323,FIND("-",Y323)-1)),'Brown tagset'!$A:$A,0))</f>
        <v>proper noun or part of name phrase</v>
      </c>
      <c r="AA323" s="7"/>
      <c r="AB323" s="7" t="str">
        <f>INDEX('Brown-Universal mapping'!$B:$B,MATCH(Y323,'Brown-Universal mapping'!$A:$A,0))</f>
        <v>NOUN</v>
      </c>
      <c r="AC323" s="7">
        <f t="shared" si="50"/>
        <v>1</v>
      </c>
      <c r="AD323" s="7">
        <f t="shared" si="51"/>
        <v>1</v>
      </c>
      <c r="AF323" s="9" t="s">
        <v>340</v>
      </c>
      <c r="AG323" s="9" t="str">
        <f>INDEX('Brown tagset'!$B:$B,MATCH(IF(ISERROR(FIND("-",AF323)),IF(ISERROR(FIND("+",AF323)),AF323,LEFT(AF323,FIND("+",AF323)-1)),LEFT(AF323,FIND("-",AF323)-1)),'Brown tagset'!$A:$A,0))</f>
        <v>unknown</v>
      </c>
      <c r="AH323" s="9" t="s">
        <v>2</v>
      </c>
      <c r="AI323" s="9" t="str">
        <f>INDEX('Brown-Universal mapping'!$B:$B,MATCH(AF323,'Brown-Universal mapping'!$A:$A,0))</f>
        <v>Unknown</v>
      </c>
      <c r="AJ323" s="9">
        <f t="shared" si="48"/>
        <v>0</v>
      </c>
      <c r="AK323" s="9">
        <f t="shared" si="49"/>
        <v>0</v>
      </c>
      <c r="AM323" s="6">
        <f t="shared" si="52"/>
        <v>2</v>
      </c>
      <c r="AN323" s="6">
        <f t="shared" si="53"/>
        <v>2</v>
      </c>
      <c r="AP323" s="6" t="str">
        <f t="shared" si="54"/>
        <v>unknown2</v>
      </c>
    </row>
    <row r="324" spans="1:42" x14ac:dyDescent="0.25">
      <c r="A324" s="25" t="s">
        <v>257</v>
      </c>
      <c r="B324" s="25"/>
      <c r="D324" s="3" t="s">
        <v>66</v>
      </c>
      <c r="E324" s="3" t="str">
        <f>INDEX('Brown tagset'!$B:$B,MATCH(IF(ISERROR(FIND("-",D324)),IF(ISERROR(FIND("+",D324)),D324,LEFT(D324,FIND("+",D324)-1)),LEFT(D324,FIND("-",D324)-1)),'Brown tagset'!$A:$A,0))</f>
        <v>proper noun or part of name phrase</v>
      </c>
      <c r="F324" s="3"/>
      <c r="G324" s="3" t="str">
        <f>INDEX('Brown-Universal mapping'!$B:$B,MATCH(D324,'Brown-Universal mapping'!$A:$A,0))</f>
        <v>NOUN</v>
      </c>
      <c r="I324" s="5" t="s">
        <v>66</v>
      </c>
      <c r="J324" s="5" t="str">
        <f>INDEX('Brown tagset'!$B:$B,MATCH(IF(ISERROR(FIND("-",I324)),IF(ISERROR(FIND("+",I324)),I324,LEFT(I324,FIND("+",I324)-1)),LEFT(I324,FIND("-",I324)-1)),'Brown tagset'!$A:$A,0))</f>
        <v>proper noun or part of name phrase</v>
      </c>
      <c r="K324" s="5" t="s">
        <v>13</v>
      </c>
      <c r="L324" s="5" t="str">
        <f>INDEX('Brown-Universal mapping'!$B:$B,MATCH(I324,'Brown-Universal mapping'!$A:$A,0))</f>
        <v>NOUN</v>
      </c>
      <c r="M324" s="5">
        <f t="shared" si="44"/>
        <v>1</v>
      </c>
      <c r="N324" s="5">
        <f t="shared" si="45"/>
        <v>1</v>
      </c>
      <c r="P324" s="12" t="s">
        <v>257</v>
      </c>
      <c r="Q324" s="7" t="s">
        <v>287</v>
      </c>
      <c r="R324" s="7" t="str">
        <f>INDEX('Brown tagset'!$B:$B,MATCH(IF(ISERROR(FIND("-",Q324)),IF(ISERROR(FIND("+",Q324)),Q324,LEFT(Q324,FIND("+",Q324)-1)),LEFT(Q324,FIND("-",Q324)-1)),'Brown tagset'!$A:$A,0))</f>
        <v>proper noun or part of name phrase</v>
      </c>
      <c r="S324" s="7"/>
      <c r="T324" s="7" t="str">
        <f>INDEX('Brown-Universal mapping'!$B:$B,MATCH(Q324,'Brown-Universal mapping'!$A:$A,0))</f>
        <v>NOUN</v>
      </c>
      <c r="U324" s="7">
        <f t="shared" si="46"/>
        <v>1</v>
      </c>
      <c r="V324" s="7">
        <f t="shared" si="47"/>
        <v>1</v>
      </c>
      <c r="X324" s="12" t="s">
        <v>257</v>
      </c>
      <c r="Y324" s="7" t="s">
        <v>287</v>
      </c>
      <c r="Z324" s="7" t="str">
        <f>INDEX('Brown tagset'!$B:$B,MATCH(IF(ISERROR(FIND("-",Y324)),IF(ISERROR(FIND("+",Y324)),Y324,LEFT(Y324,FIND("+",Y324)-1)),LEFT(Y324,FIND("-",Y324)-1)),'Brown tagset'!$A:$A,0))</f>
        <v>proper noun or part of name phrase</v>
      </c>
      <c r="AA324" s="7"/>
      <c r="AB324" s="7" t="str">
        <f>INDEX('Brown-Universal mapping'!$B:$B,MATCH(Y324,'Brown-Universal mapping'!$A:$A,0))</f>
        <v>NOUN</v>
      </c>
      <c r="AC324" s="7">
        <f t="shared" si="50"/>
        <v>1</v>
      </c>
      <c r="AD324" s="7">
        <f t="shared" si="51"/>
        <v>1</v>
      </c>
      <c r="AF324" s="9" t="s">
        <v>340</v>
      </c>
      <c r="AG324" s="9" t="str">
        <f>INDEX('Brown tagset'!$B:$B,MATCH(IF(ISERROR(FIND("-",AF324)),IF(ISERROR(FIND("+",AF324)),AF324,LEFT(AF324,FIND("+",AF324)-1)),LEFT(AF324,FIND("-",AF324)-1)),'Brown tagset'!$A:$A,0))</f>
        <v>unknown</v>
      </c>
      <c r="AH324" s="9" t="s">
        <v>2</v>
      </c>
      <c r="AI324" s="9" t="str">
        <f>INDEX('Brown-Universal mapping'!$B:$B,MATCH(AF324,'Brown-Universal mapping'!$A:$A,0))</f>
        <v>Unknown</v>
      </c>
      <c r="AJ324" s="9">
        <f t="shared" si="48"/>
        <v>0</v>
      </c>
      <c r="AK324" s="9">
        <f t="shared" si="49"/>
        <v>0</v>
      </c>
      <c r="AM324" s="6">
        <f t="shared" si="52"/>
        <v>2</v>
      </c>
      <c r="AN324" s="6">
        <f t="shared" si="53"/>
        <v>2</v>
      </c>
      <c r="AP324" s="6" t="str">
        <f t="shared" si="54"/>
        <v>unknown2</v>
      </c>
    </row>
    <row r="325" spans="1:42" x14ac:dyDescent="0.25">
      <c r="A325" s="4" t="s">
        <v>62</v>
      </c>
      <c r="D325" s="3" t="s">
        <v>62</v>
      </c>
      <c r="E325" s="3" t="str">
        <f>INDEX('Brown tagset'!$B:$B,MATCH(IF(ISERROR(FIND("-",D325)),IF(ISERROR(FIND("+",D325)),D325,LEFT(D325,FIND("+",D325)-1)),LEFT(D325,FIND("-",D325)-1)),'Brown tagset'!$A:$A,0))</f>
        <v>comma</v>
      </c>
      <c r="F325" s="3"/>
      <c r="G325" s="3" t="str">
        <f>INDEX('Brown-Universal mapping'!$B:$B,MATCH(D325,'Brown-Universal mapping'!$A:$A,0))</f>
        <v>.</v>
      </c>
      <c r="I325" s="5" t="s">
        <v>62</v>
      </c>
      <c r="J325" s="5" t="str">
        <f>INDEX('Brown tagset'!$B:$B,MATCH(IF(ISERROR(FIND("-",I325)),IF(ISERROR(FIND("+",I325)),I325,LEFT(I325,FIND("+",I325)-1)),LEFT(I325,FIND("-",I325)-1)),'Brown tagset'!$A:$A,0))</f>
        <v>comma</v>
      </c>
      <c r="K325" s="5" t="s">
        <v>38</v>
      </c>
      <c r="L325" s="5" t="str">
        <f>INDEX('Brown-Universal mapping'!$B:$B,MATCH(I325,'Brown-Universal mapping'!$A:$A,0))</f>
        <v>.</v>
      </c>
      <c r="M325" s="5">
        <f t="shared" si="44"/>
        <v>1</v>
      </c>
      <c r="N325" s="5">
        <f t="shared" si="45"/>
        <v>1</v>
      </c>
      <c r="P325" s="12" t="s">
        <v>62</v>
      </c>
      <c r="Q325" s="7" t="s">
        <v>62</v>
      </c>
      <c r="R325" s="7" t="str">
        <f>INDEX('Brown tagset'!$B:$B,MATCH(IF(ISERROR(FIND("-",Q325)),IF(ISERROR(FIND("+",Q325)),Q325,LEFT(Q325,FIND("+",Q325)-1)),LEFT(Q325,FIND("-",Q325)-1)),'Brown tagset'!$A:$A,0))</f>
        <v>comma</v>
      </c>
      <c r="S325" s="7"/>
      <c r="T325" s="7" t="str">
        <f>INDEX('Brown-Universal mapping'!$B:$B,MATCH(Q325,'Brown-Universal mapping'!$A:$A,0))</f>
        <v>.</v>
      </c>
      <c r="U325" s="7">
        <f t="shared" si="46"/>
        <v>1</v>
      </c>
      <c r="V325" s="7">
        <f t="shared" si="47"/>
        <v>1</v>
      </c>
      <c r="X325" s="12" t="s">
        <v>62</v>
      </c>
      <c r="Y325" s="7" t="s">
        <v>62</v>
      </c>
      <c r="Z325" s="7" t="str">
        <f>INDEX('Brown tagset'!$B:$B,MATCH(IF(ISERROR(FIND("-",Y325)),IF(ISERROR(FIND("+",Y325)),Y325,LEFT(Y325,FIND("+",Y325)-1)),LEFT(Y325,FIND("-",Y325)-1)),'Brown tagset'!$A:$A,0))</f>
        <v>comma</v>
      </c>
      <c r="AA325" s="7"/>
      <c r="AB325" s="7" t="str">
        <f>INDEX('Brown-Universal mapping'!$B:$B,MATCH(Y325,'Brown-Universal mapping'!$A:$A,0))</f>
        <v>.</v>
      </c>
      <c r="AC325" s="7">
        <f t="shared" si="50"/>
        <v>1</v>
      </c>
      <c r="AD325" s="7">
        <f t="shared" si="51"/>
        <v>1</v>
      </c>
      <c r="AF325" s="9" t="s">
        <v>62</v>
      </c>
      <c r="AG325" s="9" t="str">
        <f>INDEX('Brown tagset'!$B:$B,MATCH(IF(ISERROR(FIND("-",AF325)),IF(ISERROR(FIND("+",AF325)),AF325,LEFT(AF325,FIND("+",AF325)-1)),LEFT(AF325,FIND("-",AF325)-1)),'Brown tagset'!$A:$A,0))</f>
        <v>comma</v>
      </c>
      <c r="AH325" s="9" t="s">
        <v>38</v>
      </c>
      <c r="AI325" s="9" t="str">
        <f>INDEX('Brown-Universal mapping'!$B:$B,MATCH(AF325,'Brown-Universal mapping'!$A:$A,0))</f>
        <v>.</v>
      </c>
      <c r="AJ325" s="9">
        <f t="shared" si="48"/>
        <v>1</v>
      </c>
      <c r="AK325" s="9">
        <f t="shared" si="49"/>
        <v>1</v>
      </c>
      <c r="AM325" s="6">
        <f t="shared" si="52"/>
        <v>3</v>
      </c>
      <c r="AN325" s="6">
        <f t="shared" si="53"/>
        <v>3</v>
      </c>
      <c r="AP325" s="6" t="str">
        <f t="shared" si="54"/>
        <v>comma3</v>
      </c>
    </row>
    <row r="326" spans="1:42" x14ac:dyDescent="0.25">
      <c r="A326" s="4" t="s">
        <v>258</v>
      </c>
      <c r="D326" s="3" t="s">
        <v>259</v>
      </c>
      <c r="E326" s="3" t="str">
        <f>INDEX('Brown tagset'!$B:$B,MATCH(IF(ISERROR(FIND("-",D326)),IF(ISERROR(FIND("+",D326)),D326,LEFT(D326,FIND("+",D326)-1)),LEFT(D326,FIND("-",D326)-1)),'Brown tagset'!$A:$A,0))</f>
        <v>possessive wh- pronoun (whose)</v>
      </c>
      <c r="F326" s="3"/>
      <c r="G326" s="3" t="str">
        <f>INDEX('Brown-Universal mapping'!$B:$B,MATCH(D326,'Brown-Universal mapping'!$A:$A,0))</f>
        <v>DET</v>
      </c>
      <c r="I326" s="5" t="s">
        <v>259</v>
      </c>
      <c r="J326" s="5" t="str">
        <f>INDEX('Brown tagset'!$B:$B,MATCH(IF(ISERROR(FIND("-",I326)),IF(ISERROR(FIND("+",I326)),I326,LEFT(I326,FIND("+",I326)-1)),LEFT(I326,FIND("-",I326)-1)),'Brown tagset'!$A:$A,0))</f>
        <v>possessive wh- pronoun (whose)</v>
      </c>
      <c r="K326" s="5" t="s">
        <v>260</v>
      </c>
      <c r="L326" s="5" t="str">
        <f>INDEX('Brown-Universal mapping'!$B:$B,MATCH(I326,'Brown-Universal mapping'!$A:$A,0))</f>
        <v>DET</v>
      </c>
      <c r="M326" s="5">
        <f t="shared" si="44"/>
        <v>1</v>
      </c>
      <c r="N326" s="5">
        <f t="shared" si="45"/>
        <v>1</v>
      </c>
      <c r="P326" s="12" t="s">
        <v>258</v>
      </c>
      <c r="Q326" s="7" t="s">
        <v>336</v>
      </c>
      <c r="R326" s="7" t="str">
        <f>INDEX('Brown tagset'!$B:$B,MATCH(IF(ISERROR(FIND("-",Q326)),IF(ISERROR(FIND("+",Q326)),Q326,LEFT(Q326,FIND("+",Q326)-1)),LEFT(Q326,FIND("-",Q326)-1)),'Brown tagset'!$A:$A,0))</f>
        <v>possessive wh- pronoun (whose)</v>
      </c>
      <c r="S326" s="7"/>
      <c r="T326" s="7" t="str">
        <f>INDEX('Brown-Universal mapping'!$B:$B,MATCH(Q326,'Brown-Universal mapping'!$A:$A,0))</f>
        <v>DET</v>
      </c>
      <c r="U326" s="7">
        <f t="shared" si="46"/>
        <v>1</v>
      </c>
      <c r="V326" s="7">
        <f t="shared" si="47"/>
        <v>1</v>
      </c>
      <c r="X326" s="12" t="s">
        <v>258</v>
      </c>
      <c r="Y326" s="7" t="s">
        <v>336</v>
      </c>
      <c r="Z326" s="7" t="str">
        <f>INDEX('Brown tagset'!$B:$B,MATCH(IF(ISERROR(FIND("-",Y326)),IF(ISERROR(FIND("+",Y326)),Y326,LEFT(Y326,FIND("+",Y326)-1)),LEFT(Y326,FIND("-",Y326)-1)),'Brown tagset'!$A:$A,0))</f>
        <v>possessive wh- pronoun (whose)</v>
      </c>
      <c r="AA326" s="7"/>
      <c r="AB326" s="7" t="str">
        <f>INDEX('Brown-Universal mapping'!$B:$B,MATCH(Y326,'Brown-Universal mapping'!$A:$A,0))</f>
        <v>DET</v>
      </c>
      <c r="AC326" s="7">
        <f t="shared" si="50"/>
        <v>1</v>
      </c>
      <c r="AD326" s="7">
        <f t="shared" si="51"/>
        <v>1</v>
      </c>
      <c r="AF326" s="9" t="s">
        <v>259</v>
      </c>
      <c r="AG326" s="9" t="str">
        <f>INDEX('Brown tagset'!$B:$B,MATCH(IF(ISERROR(FIND("-",AF326)),IF(ISERROR(FIND("+",AF326)),AF326,LEFT(AF326,FIND("+",AF326)-1)),LEFT(AF326,FIND("-",AF326)-1)),'Brown tagset'!$A:$A,0))</f>
        <v>possessive wh- pronoun (whose)</v>
      </c>
      <c r="AH326" s="9" t="s">
        <v>260</v>
      </c>
      <c r="AI326" s="9" t="str">
        <f>INDEX('Brown-Universal mapping'!$B:$B,MATCH(AF326,'Brown-Universal mapping'!$A:$A,0))</f>
        <v>DET</v>
      </c>
      <c r="AJ326" s="9">
        <f t="shared" si="48"/>
        <v>1</v>
      </c>
      <c r="AK326" s="9">
        <f t="shared" si="49"/>
        <v>1</v>
      </c>
      <c r="AM326" s="6">
        <f t="shared" si="52"/>
        <v>3</v>
      </c>
      <c r="AN326" s="6">
        <f t="shared" si="53"/>
        <v>3</v>
      </c>
      <c r="AP326" s="6" t="str">
        <f t="shared" si="54"/>
        <v>possessive wh- pronoun (whose)3</v>
      </c>
    </row>
    <row r="327" spans="1:42" x14ac:dyDescent="0.25">
      <c r="A327" s="4" t="s">
        <v>261</v>
      </c>
      <c r="D327" s="3" t="s">
        <v>12</v>
      </c>
      <c r="E327" s="3" t="str">
        <f>INDEX('Brown tagset'!$B:$B,MATCH(IF(ISERROR(FIND("-",D327)),IF(ISERROR(FIND("+",D327)),D327,LEFT(D327,FIND("+",D327)-1)),LEFT(D327,FIND("-",D327)-1)),'Brown tagset'!$A:$A,0))</f>
        <v>singular or mass noun</v>
      </c>
      <c r="F327" s="3"/>
      <c r="G327" s="3" t="str">
        <f>INDEX('Brown-Universal mapping'!$B:$B,MATCH(D327,'Brown-Universal mapping'!$A:$A,0))</f>
        <v>NOUN</v>
      </c>
      <c r="I327" s="5" t="s">
        <v>12</v>
      </c>
      <c r="J327" s="5" t="str">
        <f>INDEX('Brown tagset'!$B:$B,MATCH(IF(ISERROR(FIND("-",I327)),IF(ISERROR(FIND("+",I327)),I327,LEFT(I327,FIND("+",I327)-1)),LEFT(I327,FIND("-",I327)-1)),'Brown tagset'!$A:$A,0))</f>
        <v>singular or mass noun</v>
      </c>
      <c r="K327" s="5" t="s">
        <v>13</v>
      </c>
      <c r="L327" s="5" t="str">
        <f>INDEX('Brown-Universal mapping'!$B:$B,MATCH(I327,'Brown-Universal mapping'!$A:$A,0))</f>
        <v>NOUN</v>
      </c>
      <c r="M327" s="5">
        <f t="shared" si="44"/>
        <v>1</v>
      </c>
      <c r="N327" s="5">
        <f t="shared" si="45"/>
        <v>1</v>
      </c>
      <c r="P327" s="12" t="s">
        <v>261</v>
      </c>
      <c r="Q327" s="7" t="s">
        <v>299</v>
      </c>
      <c r="R327" s="7" t="str">
        <f>INDEX('Brown tagset'!$B:$B,MATCH(IF(ISERROR(FIND("-",Q327)),IF(ISERROR(FIND("+",Q327)),Q327,LEFT(Q327,FIND("+",Q327)-1)),LEFT(Q327,FIND("-",Q327)-1)),'Brown tagset'!$A:$A,0))</f>
        <v>adjective</v>
      </c>
      <c r="S327" s="7"/>
      <c r="T327" s="7" t="str">
        <f>INDEX('Brown-Universal mapping'!$B:$B,MATCH(Q327,'Brown-Universal mapping'!$A:$A,0))</f>
        <v>ADJ</v>
      </c>
      <c r="U327" s="7">
        <f t="shared" si="46"/>
        <v>0</v>
      </c>
      <c r="V327" s="7">
        <f t="shared" si="47"/>
        <v>0</v>
      </c>
      <c r="X327" s="12" t="s">
        <v>261</v>
      </c>
      <c r="Y327" s="7" t="s">
        <v>289</v>
      </c>
      <c r="Z327" s="7" t="str">
        <f>INDEX('Brown tagset'!$B:$B,MATCH(IF(ISERROR(FIND("-",Y327)),IF(ISERROR(FIND("+",Y327)),Y327,LEFT(Y327,FIND("+",Y327)-1)),LEFT(Y327,FIND("-",Y327)-1)),'Brown tagset'!$A:$A,0))</f>
        <v>singular or mass noun</v>
      </c>
      <c r="AA327" s="7"/>
      <c r="AB327" s="7" t="str">
        <f>INDEX('Brown-Universal mapping'!$B:$B,MATCH(Y327,'Brown-Universal mapping'!$A:$A,0))</f>
        <v>NOUN</v>
      </c>
      <c r="AC327" s="7">
        <f t="shared" si="50"/>
        <v>1</v>
      </c>
      <c r="AD327" s="7">
        <f t="shared" si="51"/>
        <v>1</v>
      </c>
      <c r="AF327" s="9" t="s">
        <v>12</v>
      </c>
      <c r="AG327" s="9" t="str">
        <f>INDEX('Brown tagset'!$B:$B,MATCH(IF(ISERROR(FIND("-",AF327)),IF(ISERROR(FIND("+",AF327)),AF327,LEFT(AF327,FIND("+",AF327)-1)),LEFT(AF327,FIND("-",AF327)-1)),'Brown tagset'!$A:$A,0))</f>
        <v>singular or mass noun</v>
      </c>
      <c r="AH327" s="9" t="s">
        <v>13</v>
      </c>
      <c r="AI327" s="9" t="str">
        <f>INDEX('Brown-Universal mapping'!$B:$B,MATCH(AF327,'Brown-Universal mapping'!$A:$A,0))</f>
        <v>NOUN</v>
      </c>
      <c r="AJ327" s="9">
        <f t="shared" si="48"/>
        <v>1</v>
      </c>
      <c r="AK327" s="9">
        <f t="shared" si="49"/>
        <v>1</v>
      </c>
      <c r="AM327" s="6">
        <f t="shared" si="52"/>
        <v>3</v>
      </c>
      <c r="AN327" s="6">
        <f t="shared" si="53"/>
        <v>3</v>
      </c>
      <c r="AP327" s="6" t="str">
        <f t="shared" si="54"/>
        <v>singular or mass noun3</v>
      </c>
    </row>
    <row r="328" spans="1:42" x14ac:dyDescent="0.25">
      <c r="A328" s="4" t="s">
        <v>262</v>
      </c>
      <c r="D328" s="3" t="s">
        <v>174</v>
      </c>
      <c r="E328" s="3" t="str">
        <f>INDEX('Brown tagset'!$B:$B,MATCH(IF(ISERROR(FIND("-",D328)),IF(ISERROR(FIND("+",D328)),D328,LEFT(D328,FIND("+",D328)-1)),LEFT(D328,FIND("-",D328)-1)),'Brown tagset'!$A:$A,0))</f>
        <v>verb, past tense</v>
      </c>
      <c r="F328" s="3"/>
      <c r="G328" s="3" t="str">
        <f>INDEX('Brown-Universal mapping'!$B:$B,MATCH(D328,'Brown-Universal mapping'!$A:$A,0))</f>
        <v>VERB</v>
      </c>
      <c r="I328" s="5" t="s">
        <v>174</v>
      </c>
      <c r="J328" s="5" t="str">
        <f>INDEX('Brown tagset'!$B:$B,MATCH(IF(ISERROR(FIND("-",I328)),IF(ISERROR(FIND("+",I328)),I328,LEFT(I328,FIND("+",I328)-1)),LEFT(I328,FIND("-",I328)-1)),'Brown tagset'!$A:$A,0))</f>
        <v>verb, past tense</v>
      </c>
      <c r="K328" s="5" t="s">
        <v>10</v>
      </c>
      <c r="L328" s="5" t="str">
        <f>INDEX('Brown-Universal mapping'!$B:$B,MATCH(I328,'Brown-Universal mapping'!$A:$A,0))</f>
        <v>VERB</v>
      </c>
      <c r="M328" s="5">
        <f t="shared" si="44"/>
        <v>1</v>
      </c>
      <c r="N328" s="5">
        <f t="shared" si="45"/>
        <v>1</v>
      </c>
      <c r="P328" s="12" t="s">
        <v>262</v>
      </c>
      <c r="Q328" s="7" t="s">
        <v>312</v>
      </c>
      <c r="R328" s="7" t="str">
        <f>INDEX('Brown tagset'!$B:$B,MATCH(IF(ISERROR(FIND("-",Q328)),IF(ISERROR(FIND("+",Q328)),Q328,LEFT(Q328,FIND("+",Q328)-1)),LEFT(Q328,FIND("-",Q328)-1)),'Brown tagset'!$A:$A,0))</f>
        <v>verb, past tense</v>
      </c>
      <c r="S328" s="7"/>
      <c r="T328" s="7" t="str">
        <f>INDEX('Brown-Universal mapping'!$B:$B,MATCH(Q328,'Brown-Universal mapping'!$A:$A,0))</f>
        <v>VERB</v>
      </c>
      <c r="U328" s="7">
        <f t="shared" si="46"/>
        <v>1</v>
      </c>
      <c r="V328" s="7">
        <f t="shared" si="47"/>
        <v>1</v>
      </c>
      <c r="X328" s="12" t="s">
        <v>262</v>
      </c>
      <c r="Y328" s="7" t="s">
        <v>312</v>
      </c>
      <c r="Z328" s="7" t="str">
        <f>INDEX('Brown tagset'!$B:$B,MATCH(IF(ISERROR(FIND("-",Y328)),IF(ISERROR(FIND("+",Y328)),Y328,LEFT(Y328,FIND("+",Y328)-1)),LEFT(Y328,FIND("-",Y328)-1)),'Brown tagset'!$A:$A,0))</f>
        <v>verb, past tense</v>
      </c>
      <c r="AA328" s="7"/>
      <c r="AB328" s="7" t="str">
        <f>INDEX('Brown-Universal mapping'!$B:$B,MATCH(Y328,'Brown-Universal mapping'!$A:$A,0))</f>
        <v>VERB</v>
      </c>
      <c r="AC328" s="7">
        <f t="shared" si="50"/>
        <v>1</v>
      </c>
      <c r="AD328" s="7">
        <f t="shared" si="51"/>
        <v>1</v>
      </c>
      <c r="AF328" s="9" t="s">
        <v>174</v>
      </c>
      <c r="AG328" s="9" t="str">
        <f>INDEX('Brown tagset'!$B:$B,MATCH(IF(ISERROR(FIND("-",AF328)),IF(ISERROR(FIND("+",AF328)),AF328,LEFT(AF328,FIND("+",AF328)-1)),LEFT(AF328,FIND("-",AF328)-1)),'Brown tagset'!$A:$A,0))</f>
        <v>verb, past tense</v>
      </c>
      <c r="AH328" s="9" t="s">
        <v>10</v>
      </c>
      <c r="AI328" s="9" t="str">
        <f>INDEX('Brown-Universal mapping'!$B:$B,MATCH(AF328,'Brown-Universal mapping'!$A:$A,0))</f>
        <v>VERB</v>
      </c>
      <c r="AJ328" s="9">
        <f t="shared" si="48"/>
        <v>1</v>
      </c>
      <c r="AK328" s="9">
        <f t="shared" si="49"/>
        <v>1</v>
      </c>
      <c r="AM328" s="6">
        <f t="shared" si="52"/>
        <v>3</v>
      </c>
      <c r="AN328" s="6">
        <f t="shared" si="53"/>
        <v>3</v>
      </c>
      <c r="AP328" s="6" t="str">
        <f t="shared" si="54"/>
        <v>verb, past tense3</v>
      </c>
    </row>
    <row r="329" spans="1:42" x14ac:dyDescent="0.25">
      <c r="A329" s="4" t="s">
        <v>263</v>
      </c>
      <c r="B329" s="4">
        <v>1</v>
      </c>
      <c r="C329" s="4">
        <v>1</v>
      </c>
      <c r="D329" s="3" t="s">
        <v>4</v>
      </c>
      <c r="E329" s="3" t="str">
        <f>INDEX('Brown tagset'!$B:$B,MATCH(IF(ISERROR(FIND("-",D329)),IF(ISERROR(FIND("+",D329)),D329,LEFT(D329,FIND("+",D329)-1)),LEFT(D329,FIND("-",D329)-1)),'Brown tagset'!$A:$A,0))</f>
        <v>adverb</v>
      </c>
      <c r="F329" s="3"/>
      <c r="G329" s="3" t="str">
        <f>INDEX('Brown-Universal mapping'!$B:$B,MATCH(D329,'Brown-Universal mapping'!$A:$A,0))</f>
        <v>ADV</v>
      </c>
      <c r="I329" s="5" t="s">
        <v>4</v>
      </c>
      <c r="J329" s="5" t="str">
        <f>INDEX('Brown tagset'!$B:$B,MATCH(IF(ISERROR(FIND("-",I329)),IF(ISERROR(FIND("+",I329)),I329,LEFT(I329,FIND("+",I329)-1)),LEFT(I329,FIND("-",I329)-1)),'Brown tagset'!$A:$A,0))</f>
        <v>adverb</v>
      </c>
      <c r="K329" s="5" t="s">
        <v>5</v>
      </c>
      <c r="L329" s="5" t="str">
        <f>INDEX('Brown-Universal mapping'!$B:$B,MATCH(I329,'Brown-Universal mapping'!$A:$A,0))</f>
        <v>ADV</v>
      </c>
      <c r="M329" s="5">
        <f t="shared" si="44"/>
        <v>1</v>
      </c>
      <c r="N329" s="5">
        <f t="shared" si="45"/>
        <v>1</v>
      </c>
      <c r="P329" s="12" t="s">
        <v>263</v>
      </c>
      <c r="Q329" s="7" t="s">
        <v>288</v>
      </c>
      <c r="R329" s="7" t="str">
        <f>INDEX('Brown tagset'!$B:$B,MATCH(IF(ISERROR(FIND("-",Q329)),IF(ISERROR(FIND("+",Q329)),Q329,LEFT(Q329,FIND("+",Q329)-1)),LEFT(Q329,FIND("-",Q329)-1)),'Brown tagset'!$A:$A,0))</f>
        <v>adverb</v>
      </c>
      <c r="S329" s="7"/>
      <c r="T329" s="7" t="str">
        <f>INDEX('Brown-Universal mapping'!$B:$B,MATCH(Q329,'Brown-Universal mapping'!$A:$A,0))</f>
        <v>ADV</v>
      </c>
      <c r="U329" s="7">
        <f t="shared" si="46"/>
        <v>1</v>
      </c>
      <c r="V329" s="7">
        <f t="shared" si="47"/>
        <v>1</v>
      </c>
      <c r="X329" s="12" t="s">
        <v>263</v>
      </c>
      <c r="Y329" s="7" t="s">
        <v>288</v>
      </c>
      <c r="Z329" s="7" t="str">
        <f>INDEX('Brown tagset'!$B:$B,MATCH(IF(ISERROR(FIND("-",Y329)),IF(ISERROR(FIND("+",Y329)),Y329,LEFT(Y329,FIND("+",Y329)-1)),LEFT(Y329,FIND("-",Y329)-1)),'Brown tagset'!$A:$A,0))</f>
        <v>adverb</v>
      </c>
      <c r="AA329" s="7"/>
      <c r="AB329" s="7" t="str">
        <f>INDEX('Brown-Universal mapping'!$B:$B,MATCH(Y329,'Brown-Universal mapping'!$A:$A,0))</f>
        <v>ADV</v>
      </c>
      <c r="AC329" s="7">
        <f t="shared" si="50"/>
        <v>1</v>
      </c>
      <c r="AD329" s="7">
        <f t="shared" si="51"/>
        <v>1</v>
      </c>
      <c r="AF329" s="9" t="s">
        <v>4</v>
      </c>
      <c r="AG329" s="9" t="str">
        <f>INDEX('Brown tagset'!$B:$B,MATCH(IF(ISERROR(FIND("-",AF329)),IF(ISERROR(FIND("+",AF329)),AF329,LEFT(AF329,FIND("+",AF329)-1)),LEFT(AF329,FIND("-",AF329)-1)),'Brown tagset'!$A:$A,0))</f>
        <v>adverb</v>
      </c>
      <c r="AH329" s="9" t="s">
        <v>5</v>
      </c>
      <c r="AI329" s="9" t="str">
        <f>INDEX('Brown-Universal mapping'!$B:$B,MATCH(AF329,'Brown-Universal mapping'!$A:$A,0))</f>
        <v>ADV</v>
      </c>
      <c r="AJ329" s="9">
        <f t="shared" si="48"/>
        <v>1</v>
      </c>
      <c r="AK329" s="9">
        <f t="shared" si="49"/>
        <v>1</v>
      </c>
      <c r="AM329" s="6">
        <f t="shared" si="52"/>
        <v>3</v>
      </c>
      <c r="AN329" s="6">
        <f t="shared" si="53"/>
        <v>3</v>
      </c>
      <c r="AP329" s="6" t="str">
        <f t="shared" si="54"/>
        <v>adverb3</v>
      </c>
    </row>
    <row r="330" spans="1:42" x14ac:dyDescent="0.25">
      <c r="A330" s="4" t="s">
        <v>264</v>
      </c>
      <c r="D330" s="3" t="s">
        <v>129</v>
      </c>
      <c r="E330" s="3" t="str">
        <f>INDEX('Brown tagset'!$B:$B,MATCH(IF(ISERROR(FIND("-",D330)),IF(ISERROR(FIND("+",D330)),D330,LEFT(D330,FIND("+",D330)-1)),LEFT(D330,FIND("-",D330)-1)),'Brown tagset'!$A:$A,0))</f>
        <v>cardinal numeral (one, two, 2, etc.)</v>
      </c>
      <c r="F330" s="3"/>
      <c r="G330" s="3" t="str">
        <f>INDEX('Brown-Universal mapping'!$B:$B,MATCH(D330,'Brown-Universal mapping'!$A:$A,0))</f>
        <v>NUM</v>
      </c>
      <c r="I330" s="5" t="s">
        <v>129</v>
      </c>
      <c r="J330" s="5" t="str">
        <f>INDEX('Brown tagset'!$B:$B,MATCH(IF(ISERROR(FIND("-",I330)),IF(ISERROR(FIND("+",I330)),I330,LEFT(I330,FIND("+",I330)-1)),LEFT(I330,FIND("-",I330)-1)),'Brown tagset'!$A:$A,0))</f>
        <v>cardinal numeral (one, two, 2, etc.)</v>
      </c>
      <c r="K330" s="5" t="s">
        <v>130</v>
      </c>
      <c r="L330" s="5" t="str">
        <f>INDEX('Brown-Universal mapping'!$B:$B,MATCH(I330,'Brown-Universal mapping'!$A:$A,0))</f>
        <v>NUM</v>
      </c>
      <c r="M330" s="5">
        <f t="shared" si="44"/>
        <v>1</v>
      </c>
      <c r="N330" s="5">
        <f t="shared" si="45"/>
        <v>1</v>
      </c>
      <c r="P330" s="12" t="s">
        <v>264</v>
      </c>
      <c r="Q330" s="7" t="s">
        <v>305</v>
      </c>
      <c r="R330" s="7" t="str">
        <f>INDEX('Brown tagset'!$B:$B,MATCH(IF(ISERROR(FIND("-",Q330)),IF(ISERROR(FIND("+",Q330)),Q330,LEFT(Q330,FIND("+",Q330)-1)),LEFT(Q330,FIND("-",Q330)-1)),'Brown tagset'!$A:$A,0))</f>
        <v>cardinal numeral (one, two, 2, etc.)</v>
      </c>
      <c r="S330" s="7"/>
      <c r="T330" s="7" t="str">
        <f>INDEX('Brown-Universal mapping'!$B:$B,MATCH(Q330,'Brown-Universal mapping'!$A:$A,0))</f>
        <v>NUM</v>
      </c>
      <c r="U330" s="7">
        <f t="shared" si="46"/>
        <v>1</v>
      </c>
      <c r="V330" s="7">
        <f t="shared" si="47"/>
        <v>1</v>
      </c>
      <c r="X330" s="12" t="s">
        <v>264</v>
      </c>
      <c r="Y330" s="7" t="s">
        <v>305</v>
      </c>
      <c r="Z330" s="7" t="str">
        <f>INDEX('Brown tagset'!$B:$B,MATCH(IF(ISERROR(FIND("-",Y330)),IF(ISERROR(FIND("+",Y330)),Y330,LEFT(Y330,FIND("+",Y330)-1)),LEFT(Y330,FIND("-",Y330)-1)),'Brown tagset'!$A:$A,0))</f>
        <v>cardinal numeral (one, two, 2, etc.)</v>
      </c>
      <c r="AA330" s="7"/>
      <c r="AB330" s="7" t="str">
        <f>INDEX('Brown-Universal mapping'!$B:$B,MATCH(Y330,'Brown-Universal mapping'!$A:$A,0))</f>
        <v>NUM</v>
      </c>
      <c r="AC330" s="7">
        <f t="shared" si="50"/>
        <v>1</v>
      </c>
      <c r="AD330" s="7">
        <f t="shared" si="51"/>
        <v>1</v>
      </c>
      <c r="AF330" s="9" t="s">
        <v>129</v>
      </c>
      <c r="AG330" s="9" t="str">
        <f>INDEX('Brown tagset'!$B:$B,MATCH(IF(ISERROR(FIND("-",AF330)),IF(ISERROR(FIND("+",AF330)),AF330,LEFT(AF330,FIND("+",AF330)-1)),LEFT(AF330,FIND("-",AF330)-1)),'Brown tagset'!$A:$A,0))</f>
        <v>cardinal numeral (one, two, 2, etc.)</v>
      </c>
      <c r="AH330" s="9" t="s">
        <v>130</v>
      </c>
      <c r="AI330" s="9" t="str">
        <f>INDEX('Brown-Universal mapping'!$B:$B,MATCH(AF330,'Brown-Universal mapping'!$A:$A,0))</f>
        <v>NUM</v>
      </c>
      <c r="AJ330" s="9">
        <f t="shared" si="48"/>
        <v>1</v>
      </c>
      <c r="AK330" s="9">
        <f t="shared" si="49"/>
        <v>1</v>
      </c>
      <c r="AM330" s="6">
        <f t="shared" si="52"/>
        <v>3</v>
      </c>
      <c r="AN330" s="6">
        <f t="shared" si="53"/>
        <v>3</v>
      </c>
      <c r="AP330" s="6" t="str">
        <f t="shared" si="54"/>
        <v>cardinal numeral (one, two, 2, etc.)3</v>
      </c>
    </row>
    <row r="331" spans="1:42" x14ac:dyDescent="0.25">
      <c r="A331" s="4" t="s">
        <v>265</v>
      </c>
      <c r="D331" s="3" t="s">
        <v>31</v>
      </c>
      <c r="E331" s="3" t="str">
        <f>INDEX('Brown tagset'!$B:$B,MATCH(IF(ISERROR(FIND("-",D331)),IF(ISERROR(FIND("+",D331)),D331,LEFT(D331,FIND("+",D331)-1)),LEFT(D331,FIND("-",D331)-1)),'Brown tagset'!$A:$A,0))</f>
        <v>plural noun</v>
      </c>
      <c r="F331" s="3"/>
      <c r="G331" s="3" t="str">
        <f>INDEX('Brown-Universal mapping'!$B:$B,MATCH(D331,'Brown-Universal mapping'!$A:$A,0))</f>
        <v>NOUN</v>
      </c>
      <c r="I331" s="5" t="s">
        <v>31</v>
      </c>
      <c r="J331" s="5" t="str">
        <f>INDEX('Brown tagset'!$B:$B,MATCH(IF(ISERROR(FIND("-",I331)),IF(ISERROR(FIND("+",I331)),I331,LEFT(I331,FIND("+",I331)-1)),LEFT(I331,FIND("-",I331)-1)),'Brown tagset'!$A:$A,0))</f>
        <v>plural noun</v>
      </c>
      <c r="K331" s="5" t="s">
        <v>13</v>
      </c>
      <c r="L331" s="5" t="str">
        <f>INDEX('Brown-Universal mapping'!$B:$B,MATCH(I331,'Brown-Universal mapping'!$A:$A,0))</f>
        <v>NOUN</v>
      </c>
      <c r="M331" s="5">
        <f t="shared" si="44"/>
        <v>1</v>
      </c>
      <c r="N331" s="5">
        <f t="shared" si="45"/>
        <v>1</v>
      </c>
      <c r="P331" s="12" t="s">
        <v>265</v>
      </c>
      <c r="Q331" s="7" t="s">
        <v>295</v>
      </c>
      <c r="R331" s="7" t="str">
        <f>INDEX('Brown tagset'!$B:$B,MATCH(IF(ISERROR(FIND("-",Q331)),IF(ISERROR(FIND("+",Q331)),Q331,LEFT(Q331,FIND("+",Q331)-1)),LEFT(Q331,FIND("-",Q331)-1)),'Brown tagset'!$A:$A,0))</f>
        <v>plural noun</v>
      </c>
      <c r="S331" s="7"/>
      <c r="T331" s="7" t="str">
        <f>INDEX('Brown-Universal mapping'!$B:$B,MATCH(Q331,'Brown-Universal mapping'!$A:$A,0))</f>
        <v>NOUN</v>
      </c>
      <c r="U331" s="7">
        <f t="shared" si="46"/>
        <v>1</v>
      </c>
      <c r="V331" s="7">
        <f t="shared" si="47"/>
        <v>1</v>
      </c>
      <c r="X331" s="12" t="s">
        <v>265</v>
      </c>
      <c r="Y331" s="7" t="s">
        <v>295</v>
      </c>
      <c r="Z331" s="7" t="str">
        <f>INDEX('Brown tagset'!$B:$B,MATCH(IF(ISERROR(FIND("-",Y331)),IF(ISERROR(FIND("+",Y331)),Y331,LEFT(Y331,FIND("+",Y331)-1)),LEFT(Y331,FIND("-",Y331)-1)),'Brown tagset'!$A:$A,0))</f>
        <v>plural noun</v>
      </c>
      <c r="AA331" s="7"/>
      <c r="AB331" s="7" t="str">
        <f>INDEX('Brown-Universal mapping'!$B:$B,MATCH(Y331,'Brown-Universal mapping'!$A:$A,0))</f>
        <v>NOUN</v>
      </c>
      <c r="AC331" s="7">
        <f t="shared" si="50"/>
        <v>1</v>
      </c>
      <c r="AD331" s="7">
        <f t="shared" si="51"/>
        <v>1</v>
      </c>
      <c r="AF331" s="9" t="s">
        <v>31</v>
      </c>
      <c r="AG331" s="9" t="str">
        <f>INDEX('Brown tagset'!$B:$B,MATCH(IF(ISERROR(FIND("-",AF331)),IF(ISERROR(FIND("+",AF331)),AF331,LEFT(AF331,FIND("+",AF331)-1)),LEFT(AF331,FIND("-",AF331)-1)),'Brown tagset'!$A:$A,0))</f>
        <v>plural noun</v>
      </c>
      <c r="AH331" s="9" t="s">
        <v>13</v>
      </c>
      <c r="AI331" s="9" t="str">
        <f>INDEX('Brown-Universal mapping'!$B:$B,MATCH(AF331,'Brown-Universal mapping'!$A:$A,0))</f>
        <v>NOUN</v>
      </c>
      <c r="AJ331" s="9">
        <f t="shared" si="48"/>
        <v>1</v>
      </c>
      <c r="AK331" s="9">
        <f t="shared" si="49"/>
        <v>1</v>
      </c>
      <c r="AM331" s="6">
        <f t="shared" si="52"/>
        <v>3</v>
      </c>
      <c r="AN331" s="6">
        <f t="shared" si="53"/>
        <v>3</v>
      </c>
      <c r="AP331" s="6" t="str">
        <f t="shared" si="54"/>
        <v>plural noun3</v>
      </c>
    </row>
    <row r="332" spans="1:42" x14ac:dyDescent="0.25">
      <c r="A332" s="4" t="s">
        <v>266</v>
      </c>
      <c r="B332" s="29">
        <v>1</v>
      </c>
      <c r="C332" s="4">
        <v>1</v>
      </c>
      <c r="D332" s="3" t="s">
        <v>4</v>
      </c>
      <c r="E332" s="3" t="str">
        <f>INDEX('Brown tagset'!$B:$B,MATCH(IF(ISERROR(FIND("-",D332)),IF(ISERROR(FIND("+",D332)),D332,LEFT(D332,FIND("+",D332)-1)),LEFT(D332,FIND("-",D332)-1)),'Brown tagset'!$A:$A,0))</f>
        <v>adverb</v>
      </c>
      <c r="F332" s="3"/>
      <c r="G332" s="3" t="str">
        <f>INDEX('Brown-Universal mapping'!$B:$B,MATCH(D332,'Brown-Universal mapping'!$A:$A,0))</f>
        <v>ADV</v>
      </c>
      <c r="I332" s="5" t="s">
        <v>4</v>
      </c>
      <c r="J332" s="5" t="str">
        <f>INDEX('Brown tagset'!$B:$B,MATCH(IF(ISERROR(FIND("-",I332)),IF(ISERROR(FIND("+",I332)),I332,LEFT(I332,FIND("+",I332)-1)),LEFT(I332,FIND("-",I332)-1)),'Brown tagset'!$A:$A,0))</f>
        <v>adverb</v>
      </c>
      <c r="K332" s="5" t="s">
        <v>5</v>
      </c>
      <c r="L332" s="5" t="str">
        <f>INDEX('Brown-Universal mapping'!$B:$B,MATCH(I332,'Brown-Universal mapping'!$A:$A,0))</f>
        <v>ADV</v>
      </c>
      <c r="M332" s="5">
        <f t="shared" ref="M332:M369" si="55">IF(I332=$D332,1,0)</f>
        <v>1</v>
      </c>
      <c r="N332" s="5">
        <f t="shared" ref="N332:N369" si="56">IF(L332=$G332,1,0)</f>
        <v>1</v>
      </c>
      <c r="P332" s="12" t="s">
        <v>266</v>
      </c>
      <c r="Q332" s="7" t="s">
        <v>288</v>
      </c>
      <c r="R332" s="7" t="str">
        <f>INDEX('Brown tagset'!$B:$B,MATCH(IF(ISERROR(FIND("-",Q332)),IF(ISERROR(FIND("+",Q332)),Q332,LEFT(Q332,FIND("+",Q332)-1)),LEFT(Q332,FIND("-",Q332)-1)),'Brown tagset'!$A:$A,0))</f>
        <v>adverb</v>
      </c>
      <c r="S332" s="7"/>
      <c r="T332" s="7" t="str">
        <f>INDEX('Brown-Universal mapping'!$B:$B,MATCH(Q332,'Brown-Universal mapping'!$A:$A,0))</f>
        <v>ADV</v>
      </c>
      <c r="U332" s="7">
        <f t="shared" ref="U332:U369" si="57">IF(Q332=$D332,1,0)</f>
        <v>1</v>
      </c>
      <c r="V332" s="7">
        <f t="shared" ref="V332:V369" si="58">IF(T332=$G332,1,0)</f>
        <v>1</v>
      </c>
      <c r="X332" s="12" t="s">
        <v>266</v>
      </c>
      <c r="Y332" s="7" t="s">
        <v>288</v>
      </c>
      <c r="Z332" s="7" t="str">
        <f>INDEX('Brown tagset'!$B:$B,MATCH(IF(ISERROR(FIND("-",Y332)),IF(ISERROR(FIND("+",Y332)),Y332,LEFT(Y332,FIND("+",Y332)-1)),LEFT(Y332,FIND("-",Y332)-1)),'Brown tagset'!$A:$A,0))</f>
        <v>adverb</v>
      </c>
      <c r="AA332" s="7"/>
      <c r="AB332" s="7" t="str">
        <f>INDEX('Brown-Universal mapping'!$B:$B,MATCH(Y332,'Brown-Universal mapping'!$A:$A,0))</f>
        <v>ADV</v>
      </c>
      <c r="AC332" s="7">
        <f t="shared" si="50"/>
        <v>1</v>
      </c>
      <c r="AD332" s="7">
        <f t="shared" si="51"/>
        <v>1</v>
      </c>
      <c r="AF332" s="9" t="s">
        <v>4</v>
      </c>
      <c r="AG332" s="9" t="str">
        <f>INDEX('Brown tagset'!$B:$B,MATCH(IF(ISERROR(FIND("-",AF332)),IF(ISERROR(FIND("+",AF332)),AF332,LEFT(AF332,FIND("+",AF332)-1)),LEFT(AF332,FIND("-",AF332)-1)),'Brown tagset'!$A:$A,0))</f>
        <v>adverb</v>
      </c>
      <c r="AH332" s="9" t="s">
        <v>5</v>
      </c>
      <c r="AI332" s="9" t="str">
        <f>INDEX('Brown-Universal mapping'!$B:$B,MATCH(AF332,'Brown-Universal mapping'!$A:$A,0))</f>
        <v>ADV</v>
      </c>
      <c r="AJ332" s="9">
        <f t="shared" ref="AJ332:AJ369" si="59">IF(AF332=$D332,1,0)</f>
        <v>1</v>
      </c>
      <c r="AK332" s="9">
        <f t="shared" ref="AK332:AK369" si="60">IF(AI332=$G332,1,0)</f>
        <v>1</v>
      </c>
      <c r="AM332" s="6">
        <f t="shared" si="52"/>
        <v>3</v>
      </c>
      <c r="AN332" s="6">
        <f t="shared" si="53"/>
        <v>3</v>
      </c>
      <c r="AP332" s="6" t="str">
        <f t="shared" si="54"/>
        <v>adverb3</v>
      </c>
    </row>
    <row r="333" spans="1:42" x14ac:dyDescent="0.25">
      <c r="A333" s="4" t="s">
        <v>72</v>
      </c>
      <c r="D333" s="3" t="s">
        <v>38</v>
      </c>
      <c r="E333" s="3" t="str">
        <f>INDEX('Brown tagset'!$B:$B,MATCH(IF(ISERROR(FIND("-",D333)),IF(ISERROR(FIND("+",D333)),D333,LEFT(D333,FIND("+",D333)-1)),LEFT(D333,FIND("-",D333)-1)),'Brown tagset'!$A:$A,0))</f>
        <v>sentence (. ; ? *)</v>
      </c>
      <c r="F333" s="3"/>
      <c r="G333" s="3" t="str">
        <f>INDEX('Brown-Universal mapping'!$B:$B,MATCH(D333,'Brown-Universal mapping'!$A:$A,0))</f>
        <v>.</v>
      </c>
      <c r="I333" s="5" t="s">
        <v>38</v>
      </c>
      <c r="J333" s="5" t="str">
        <f>INDEX('Brown tagset'!$B:$B,MATCH(IF(ISERROR(FIND("-",I333)),IF(ISERROR(FIND("+",I333)),I333,LEFT(I333,FIND("+",I333)-1)),LEFT(I333,FIND("-",I333)-1)),'Brown tagset'!$A:$A,0))</f>
        <v>sentence (. ; ? *)</v>
      </c>
      <c r="K333" s="5" t="s">
        <v>38</v>
      </c>
      <c r="L333" s="5" t="str">
        <f>INDEX('Brown-Universal mapping'!$B:$B,MATCH(I333,'Brown-Universal mapping'!$A:$A,0))</f>
        <v>.</v>
      </c>
      <c r="M333" s="5">
        <f t="shared" si="55"/>
        <v>1</v>
      </c>
      <c r="N333" s="5">
        <f t="shared" si="56"/>
        <v>1</v>
      </c>
      <c r="P333" s="12" t="s">
        <v>72</v>
      </c>
      <c r="Q333" s="7" t="s">
        <v>38</v>
      </c>
      <c r="R333" s="7" t="str">
        <f>INDEX('Brown tagset'!$B:$B,MATCH(IF(ISERROR(FIND("-",Q333)),IF(ISERROR(FIND("+",Q333)),Q333,LEFT(Q333,FIND("+",Q333)-1)),LEFT(Q333,FIND("-",Q333)-1)),'Brown tagset'!$A:$A,0))</f>
        <v>sentence (. ; ? *)</v>
      </c>
      <c r="S333" s="7"/>
      <c r="T333" s="7" t="str">
        <f>INDEX('Brown-Universal mapping'!$B:$B,MATCH(Q333,'Brown-Universal mapping'!$A:$A,0))</f>
        <v>.</v>
      </c>
      <c r="U333" s="7">
        <f t="shared" si="57"/>
        <v>1</v>
      </c>
      <c r="V333" s="7">
        <f t="shared" si="58"/>
        <v>1</v>
      </c>
      <c r="X333" s="12" t="s">
        <v>72</v>
      </c>
      <c r="Y333" s="7" t="s">
        <v>38</v>
      </c>
      <c r="Z333" s="7" t="str">
        <f>INDEX('Brown tagset'!$B:$B,MATCH(IF(ISERROR(FIND("-",Y333)),IF(ISERROR(FIND("+",Y333)),Y333,LEFT(Y333,FIND("+",Y333)-1)),LEFT(Y333,FIND("-",Y333)-1)),'Brown tagset'!$A:$A,0))</f>
        <v>sentence (. ; ? *)</v>
      </c>
      <c r="AA333" s="7"/>
      <c r="AB333" s="7" t="str">
        <f>INDEX('Brown-Universal mapping'!$B:$B,MATCH(Y333,'Brown-Universal mapping'!$A:$A,0))</f>
        <v>.</v>
      </c>
      <c r="AC333" s="7">
        <f t="shared" si="50"/>
        <v>1</v>
      </c>
      <c r="AD333" s="7">
        <f t="shared" si="51"/>
        <v>1</v>
      </c>
      <c r="AF333" s="9" t="s">
        <v>38</v>
      </c>
      <c r="AG333" s="9" t="str">
        <f>INDEX('Brown tagset'!$B:$B,MATCH(IF(ISERROR(FIND("-",AF333)),IF(ISERROR(FIND("+",AF333)),AF333,LEFT(AF333,FIND("+",AF333)-1)),LEFT(AF333,FIND("-",AF333)-1)),'Brown tagset'!$A:$A,0))</f>
        <v>sentence (. ; ? *)</v>
      </c>
      <c r="AH333" s="9" t="s">
        <v>38</v>
      </c>
      <c r="AI333" s="9" t="str">
        <f>INDEX('Brown-Universal mapping'!$B:$B,MATCH(AF333,'Brown-Universal mapping'!$A:$A,0))</f>
        <v>.</v>
      </c>
      <c r="AJ333" s="9">
        <f t="shared" si="59"/>
        <v>1</v>
      </c>
      <c r="AK333" s="9">
        <f t="shared" si="60"/>
        <v>1</v>
      </c>
      <c r="AM333" s="6">
        <f t="shared" si="52"/>
        <v>3</v>
      </c>
      <c r="AN333" s="6">
        <f t="shared" si="53"/>
        <v>3</v>
      </c>
      <c r="AP333" s="6" t="str">
        <f t="shared" si="54"/>
        <v>sentence (. ; ? *)3</v>
      </c>
    </row>
    <row r="334" spans="1:42" x14ac:dyDescent="0.25">
      <c r="A334" s="4" t="s">
        <v>267</v>
      </c>
      <c r="D334" s="3" t="s">
        <v>66</v>
      </c>
      <c r="E334" s="3" t="str">
        <f>INDEX('Brown tagset'!$B:$B,MATCH(IF(ISERROR(FIND("-",D334)),IF(ISERROR(FIND("+",D334)),D334,LEFT(D334,FIND("+",D334)-1)),LEFT(D334,FIND("-",D334)-1)),'Brown tagset'!$A:$A,0))</f>
        <v>proper noun or part of name phrase</v>
      </c>
      <c r="F334" s="3"/>
      <c r="G334" s="3" t="str">
        <f>INDEX('Brown-Universal mapping'!$B:$B,MATCH(D334,'Brown-Universal mapping'!$A:$A,0))</f>
        <v>NOUN</v>
      </c>
      <c r="I334" s="5" t="s">
        <v>66</v>
      </c>
      <c r="J334" s="5" t="str">
        <f>INDEX('Brown tagset'!$B:$B,MATCH(IF(ISERROR(FIND("-",I334)),IF(ISERROR(FIND("+",I334)),I334,LEFT(I334,FIND("+",I334)-1)),LEFT(I334,FIND("-",I334)-1)),'Brown tagset'!$A:$A,0))</f>
        <v>proper noun or part of name phrase</v>
      </c>
      <c r="K334" s="5" t="s">
        <v>13</v>
      </c>
      <c r="L334" s="5" t="str">
        <f>INDEX('Brown-Universal mapping'!$B:$B,MATCH(I334,'Brown-Universal mapping'!$A:$A,0))</f>
        <v>NOUN</v>
      </c>
      <c r="M334" s="5">
        <f t="shared" si="55"/>
        <v>1</v>
      </c>
      <c r="N334" s="5">
        <f t="shared" si="56"/>
        <v>1</v>
      </c>
      <c r="P334" s="12" t="s">
        <v>267</v>
      </c>
      <c r="Q334" s="7" t="s">
        <v>287</v>
      </c>
      <c r="R334" s="7" t="str">
        <f>INDEX('Brown tagset'!$B:$B,MATCH(IF(ISERROR(FIND("-",Q334)),IF(ISERROR(FIND("+",Q334)),Q334,LEFT(Q334,FIND("+",Q334)-1)),LEFT(Q334,FIND("-",Q334)-1)),'Brown tagset'!$A:$A,0))</f>
        <v>proper noun or part of name phrase</v>
      </c>
      <c r="S334" s="7"/>
      <c r="T334" s="7" t="str">
        <f>INDEX('Brown-Universal mapping'!$B:$B,MATCH(Q334,'Brown-Universal mapping'!$A:$A,0))</f>
        <v>NOUN</v>
      </c>
      <c r="U334" s="7">
        <f t="shared" si="57"/>
        <v>1</v>
      </c>
      <c r="V334" s="7">
        <f t="shared" si="58"/>
        <v>1</v>
      </c>
      <c r="X334" s="12" t="s">
        <v>267</v>
      </c>
      <c r="Y334" s="7" t="s">
        <v>287</v>
      </c>
      <c r="Z334" s="7" t="str">
        <f>INDEX('Brown tagset'!$B:$B,MATCH(IF(ISERROR(FIND("-",Y334)),IF(ISERROR(FIND("+",Y334)),Y334,LEFT(Y334,FIND("+",Y334)-1)),LEFT(Y334,FIND("-",Y334)-1)),'Brown tagset'!$A:$A,0))</f>
        <v>proper noun or part of name phrase</v>
      </c>
      <c r="AA334" s="7"/>
      <c r="AB334" s="7" t="str">
        <f>INDEX('Brown-Universal mapping'!$B:$B,MATCH(Y334,'Brown-Universal mapping'!$A:$A,0))</f>
        <v>NOUN</v>
      </c>
      <c r="AC334" s="7">
        <f t="shared" si="50"/>
        <v>1</v>
      </c>
      <c r="AD334" s="7">
        <f t="shared" si="51"/>
        <v>1</v>
      </c>
      <c r="AF334" s="9" t="s">
        <v>66</v>
      </c>
      <c r="AG334" s="9" t="str">
        <f>INDEX('Brown tagset'!$B:$B,MATCH(IF(ISERROR(FIND("-",AF334)),IF(ISERROR(FIND("+",AF334)),AF334,LEFT(AF334,FIND("+",AF334)-1)),LEFT(AF334,FIND("-",AF334)-1)),'Brown tagset'!$A:$A,0))</f>
        <v>proper noun or part of name phrase</v>
      </c>
      <c r="AH334" s="9" t="s">
        <v>13</v>
      </c>
      <c r="AI334" s="9" t="str">
        <f>INDEX('Brown-Universal mapping'!$B:$B,MATCH(AF334,'Brown-Universal mapping'!$A:$A,0))</f>
        <v>NOUN</v>
      </c>
      <c r="AJ334" s="9">
        <f t="shared" si="59"/>
        <v>1</v>
      </c>
      <c r="AK334" s="9">
        <f t="shared" si="60"/>
        <v>1</v>
      </c>
      <c r="AM334" s="6">
        <f t="shared" si="52"/>
        <v>3</v>
      </c>
      <c r="AN334" s="6">
        <f t="shared" si="53"/>
        <v>3</v>
      </c>
      <c r="AP334" s="6" t="str">
        <f t="shared" si="54"/>
        <v>proper noun or part of name phrase3</v>
      </c>
    </row>
    <row r="335" spans="1:42" x14ac:dyDescent="0.25">
      <c r="A335" s="25" t="s">
        <v>268</v>
      </c>
      <c r="B335" s="25"/>
      <c r="D335" s="3" t="s">
        <v>66</v>
      </c>
      <c r="E335" s="3" t="str">
        <f>INDEX('Brown tagset'!$B:$B,MATCH(IF(ISERROR(FIND("-",D335)),IF(ISERROR(FIND("+",D335)),D335,LEFT(D335,FIND("+",D335)-1)),LEFT(D335,FIND("-",D335)-1)),'Brown tagset'!$A:$A,0))</f>
        <v>proper noun or part of name phrase</v>
      </c>
      <c r="F335" s="3"/>
      <c r="G335" s="3" t="str">
        <f>INDEX('Brown-Universal mapping'!$B:$B,MATCH(D335,'Brown-Universal mapping'!$A:$A,0))</f>
        <v>NOUN</v>
      </c>
      <c r="I335" s="5" t="s">
        <v>66</v>
      </c>
      <c r="J335" s="5" t="str">
        <f>INDEX('Brown tagset'!$B:$B,MATCH(IF(ISERROR(FIND("-",I335)),IF(ISERROR(FIND("+",I335)),I335,LEFT(I335,FIND("+",I335)-1)),LEFT(I335,FIND("-",I335)-1)),'Brown tagset'!$A:$A,0))</f>
        <v>proper noun or part of name phrase</v>
      </c>
      <c r="K335" s="5" t="s">
        <v>13</v>
      </c>
      <c r="L335" s="5" t="str">
        <f>INDEX('Brown-Universal mapping'!$B:$B,MATCH(I335,'Brown-Universal mapping'!$A:$A,0))</f>
        <v>NOUN</v>
      </c>
      <c r="M335" s="5">
        <f t="shared" si="55"/>
        <v>1</v>
      </c>
      <c r="N335" s="5">
        <f t="shared" si="56"/>
        <v>1</v>
      </c>
      <c r="P335" s="12" t="s">
        <v>268</v>
      </c>
      <c r="Q335" s="7" t="s">
        <v>287</v>
      </c>
      <c r="R335" s="7" t="str">
        <f>INDEX('Brown tagset'!$B:$B,MATCH(IF(ISERROR(FIND("-",Q335)),IF(ISERROR(FIND("+",Q335)),Q335,LEFT(Q335,FIND("+",Q335)-1)),LEFT(Q335,FIND("-",Q335)-1)),'Brown tagset'!$A:$A,0))</f>
        <v>proper noun or part of name phrase</v>
      </c>
      <c r="S335" s="7"/>
      <c r="T335" s="7" t="str">
        <f>INDEX('Brown-Universal mapping'!$B:$B,MATCH(Q335,'Brown-Universal mapping'!$A:$A,0))</f>
        <v>NOUN</v>
      </c>
      <c r="U335" s="7">
        <f t="shared" si="57"/>
        <v>1</v>
      </c>
      <c r="V335" s="7">
        <f t="shared" si="58"/>
        <v>1</v>
      </c>
      <c r="X335" s="12" t="s">
        <v>268</v>
      </c>
      <c r="Y335" s="7" t="s">
        <v>287</v>
      </c>
      <c r="Z335" s="7" t="str">
        <f>INDEX('Brown tagset'!$B:$B,MATCH(IF(ISERROR(FIND("-",Y335)),IF(ISERROR(FIND("+",Y335)),Y335,LEFT(Y335,FIND("+",Y335)-1)),LEFT(Y335,FIND("-",Y335)-1)),'Brown tagset'!$A:$A,0))</f>
        <v>proper noun or part of name phrase</v>
      </c>
      <c r="AA335" s="7"/>
      <c r="AB335" s="7" t="str">
        <f>INDEX('Brown-Universal mapping'!$B:$B,MATCH(Y335,'Brown-Universal mapping'!$A:$A,0))</f>
        <v>NOUN</v>
      </c>
      <c r="AC335" s="7">
        <f t="shared" si="50"/>
        <v>1</v>
      </c>
      <c r="AD335" s="7">
        <f t="shared" si="51"/>
        <v>1</v>
      </c>
      <c r="AF335" s="9" t="s">
        <v>340</v>
      </c>
      <c r="AG335" s="9" t="str">
        <f>INDEX('Brown tagset'!$B:$B,MATCH(IF(ISERROR(FIND("-",AF335)),IF(ISERROR(FIND("+",AF335)),AF335,LEFT(AF335,FIND("+",AF335)-1)),LEFT(AF335,FIND("-",AF335)-1)),'Brown tagset'!$A:$A,0))</f>
        <v>unknown</v>
      </c>
      <c r="AH335" s="9" t="s">
        <v>2</v>
      </c>
      <c r="AI335" s="9" t="str">
        <f>INDEX('Brown-Universal mapping'!$B:$B,MATCH(AF335,'Brown-Universal mapping'!$A:$A,0))</f>
        <v>Unknown</v>
      </c>
      <c r="AJ335" s="9">
        <f t="shared" si="59"/>
        <v>0</v>
      </c>
      <c r="AK335" s="9">
        <f t="shared" si="60"/>
        <v>0</v>
      </c>
      <c r="AM335" s="6">
        <f t="shared" si="52"/>
        <v>2</v>
      </c>
      <c r="AN335" s="6">
        <f t="shared" si="53"/>
        <v>2</v>
      </c>
      <c r="AP335" s="6" t="str">
        <f t="shared" si="54"/>
        <v>unknown2</v>
      </c>
    </row>
    <row r="336" spans="1:42" x14ac:dyDescent="0.25">
      <c r="A336" s="4" t="s">
        <v>62</v>
      </c>
      <c r="D336" s="3" t="s">
        <v>62</v>
      </c>
      <c r="E336" s="3" t="str">
        <f>INDEX('Brown tagset'!$B:$B,MATCH(IF(ISERROR(FIND("-",D336)),IF(ISERROR(FIND("+",D336)),D336,LEFT(D336,FIND("+",D336)-1)),LEFT(D336,FIND("-",D336)-1)),'Brown tagset'!$A:$A,0))</f>
        <v>comma</v>
      </c>
      <c r="F336" s="3"/>
      <c r="G336" s="3" t="str">
        <f>INDEX('Brown-Universal mapping'!$B:$B,MATCH(D336,'Brown-Universal mapping'!$A:$A,0))</f>
        <v>.</v>
      </c>
      <c r="I336" s="5" t="s">
        <v>62</v>
      </c>
      <c r="J336" s="5" t="str">
        <f>INDEX('Brown tagset'!$B:$B,MATCH(IF(ISERROR(FIND("-",I336)),IF(ISERROR(FIND("+",I336)),I336,LEFT(I336,FIND("+",I336)-1)),LEFT(I336,FIND("-",I336)-1)),'Brown tagset'!$A:$A,0))</f>
        <v>comma</v>
      </c>
      <c r="K336" s="5" t="s">
        <v>38</v>
      </c>
      <c r="L336" s="5" t="str">
        <f>INDEX('Brown-Universal mapping'!$B:$B,MATCH(I336,'Brown-Universal mapping'!$A:$A,0))</f>
        <v>.</v>
      </c>
      <c r="M336" s="5">
        <f t="shared" si="55"/>
        <v>1</v>
      </c>
      <c r="N336" s="5">
        <f t="shared" si="56"/>
        <v>1</v>
      </c>
      <c r="P336" s="12" t="s">
        <v>62</v>
      </c>
      <c r="Q336" s="7" t="s">
        <v>62</v>
      </c>
      <c r="R336" s="7" t="str">
        <f>INDEX('Brown tagset'!$B:$B,MATCH(IF(ISERROR(FIND("-",Q336)),IF(ISERROR(FIND("+",Q336)),Q336,LEFT(Q336,FIND("+",Q336)-1)),LEFT(Q336,FIND("-",Q336)-1)),'Brown tagset'!$A:$A,0))</f>
        <v>comma</v>
      </c>
      <c r="S336" s="7"/>
      <c r="T336" s="7" t="str">
        <f>INDEX('Brown-Universal mapping'!$B:$B,MATCH(Q336,'Brown-Universal mapping'!$A:$A,0))</f>
        <v>.</v>
      </c>
      <c r="U336" s="7">
        <f t="shared" si="57"/>
        <v>1</v>
      </c>
      <c r="V336" s="7">
        <f t="shared" si="58"/>
        <v>1</v>
      </c>
      <c r="X336" s="12" t="s">
        <v>62</v>
      </c>
      <c r="Y336" s="7" t="s">
        <v>62</v>
      </c>
      <c r="Z336" s="7" t="str">
        <f>INDEX('Brown tagset'!$B:$B,MATCH(IF(ISERROR(FIND("-",Y336)),IF(ISERROR(FIND("+",Y336)),Y336,LEFT(Y336,FIND("+",Y336)-1)),LEFT(Y336,FIND("-",Y336)-1)),'Brown tagset'!$A:$A,0))</f>
        <v>comma</v>
      </c>
      <c r="AA336" s="7"/>
      <c r="AB336" s="7" t="str">
        <f>INDEX('Brown-Universal mapping'!$B:$B,MATCH(Y336,'Brown-Universal mapping'!$A:$A,0))</f>
        <v>.</v>
      </c>
      <c r="AC336" s="7">
        <f t="shared" si="50"/>
        <v>1</v>
      </c>
      <c r="AD336" s="7">
        <f t="shared" si="51"/>
        <v>1</v>
      </c>
      <c r="AF336" s="9" t="s">
        <v>62</v>
      </c>
      <c r="AG336" s="9" t="str">
        <f>INDEX('Brown tagset'!$B:$B,MATCH(IF(ISERROR(FIND("-",AF336)),IF(ISERROR(FIND("+",AF336)),AF336,LEFT(AF336,FIND("+",AF336)-1)),LEFT(AF336,FIND("-",AF336)-1)),'Brown tagset'!$A:$A,0))</f>
        <v>comma</v>
      </c>
      <c r="AH336" s="9" t="s">
        <v>38</v>
      </c>
      <c r="AI336" s="9" t="str">
        <f>INDEX('Brown-Universal mapping'!$B:$B,MATCH(AF336,'Brown-Universal mapping'!$A:$A,0))</f>
        <v>.</v>
      </c>
      <c r="AJ336" s="9">
        <f t="shared" si="59"/>
        <v>1</v>
      </c>
      <c r="AK336" s="9">
        <f t="shared" si="60"/>
        <v>1</v>
      </c>
      <c r="AM336" s="6">
        <f t="shared" si="52"/>
        <v>3</v>
      </c>
      <c r="AN336" s="6">
        <f t="shared" si="53"/>
        <v>3</v>
      </c>
      <c r="AP336" s="6" t="str">
        <f t="shared" si="54"/>
        <v>comma3</v>
      </c>
    </row>
    <row r="337" spans="1:42" x14ac:dyDescent="0.25">
      <c r="A337" s="4" t="s">
        <v>118</v>
      </c>
      <c r="D337" s="3" t="s">
        <v>119</v>
      </c>
      <c r="E337" s="3" t="str">
        <f>INDEX('Brown tagset'!$B:$B,MATCH(IF(ISERROR(FIND("-",D337)),IF(ISERROR(FIND("+",D337)),D337,LEFT(D337,FIND("+",D337)-1)),LEFT(D337,FIND("-",D337)-1)),'Brown tagset'!$A:$A,0))</f>
        <v>nominative wh- pronoun (who, which, that)</v>
      </c>
      <c r="F337" s="3"/>
      <c r="G337" s="3" t="str">
        <f>INDEX('Brown-Universal mapping'!$B:$B,MATCH(D337,'Brown-Universal mapping'!$A:$A,0))</f>
        <v>PRON</v>
      </c>
      <c r="I337" s="5" t="s">
        <v>119</v>
      </c>
      <c r="J337" s="5" t="str">
        <f>INDEX('Brown tagset'!$B:$B,MATCH(IF(ISERROR(FIND("-",I337)),IF(ISERROR(FIND("+",I337)),I337,LEFT(I337,FIND("+",I337)-1)),LEFT(I337,FIND("-",I337)-1)),'Brown tagset'!$A:$A,0))</f>
        <v>nominative wh- pronoun (who, which, that)</v>
      </c>
      <c r="K337" s="5" t="s">
        <v>2</v>
      </c>
      <c r="L337" s="5" t="str">
        <f>INDEX('Brown-Universal mapping'!$B:$B,MATCH(I337,'Brown-Universal mapping'!$A:$A,0))</f>
        <v>PRON</v>
      </c>
      <c r="M337" s="5">
        <f t="shared" si="55"/>
        <v>1</v>
      </c>
      <c r="N337" s="5">
        <f t="shared" si="56"/>
        <v>1</v>
      </c>
      <c r="P337" s="12" t="s">
        <v>118</v>
      </c>
      <c r="Q337" s="7" t="s">
        <v>317</v>
      </c>
      <c r="R337" s="7" t="str">
        <f>INDEX('Brown tagset'!$B:$B,MATCH(IF(ISERROR(FIND("-",Q337)),IF(ISERROR(FIND("+",Q337)),Q337,LEFT(Q337,FIND("+",Q337)-1)),LEFT(Q337,FIND("-",Q337)-1)),'Brown tagset'!$A:$A,0))</f>
        <v>nominative wh- pronoun (who, which, that)</v>
      </c>
      <c r="S337" s="7"/>
      <c r="T337" s="7" t="str">
        <f>INDEX('Brown-Universal mapping'!$B:$B,MATCH(Q337,'Brown-Universal mapping'!$A:$A,0))</f>
        <v>PRON</v>
      </c>
      <c r="U337" s="7">
        <f t="shared" si="57"/>
        <v>1</v>
      </c>
      <c r="V337" s="7">
        <f t="shared" si="58"/>
        <v>1</v>
      </c>
      <c r="X337" s="12" t="s">
        <v>118</v>
      </c>
      <c r="Y337" s="7" t="s">
        <v>317</v>
      </c>
      <c r="Z337" s="7" t="str">
        <f>INDEX('Brown tagset'!$B:$B,MATCH(IF(ISERROR(FIND("-",Y337)),IF(ISERROR(FIND("+",Y337)),Y337,LEFT(Y337,FIND("+",Y337)-1)),LEFT(Y337,FIND("-",Y337)-1)),'Brown tagset'!$A:$A,0))</f>
        <v>nominative wh- pronoun (who, which, that)</v>
      </c>
      <c r="AA337" s="7"/>
      <c r="AB337" s="7" t="str">
        <f>INDEX('Brown-Universal mapping'!$B:$B,MATCH(Y337,'Brown-Universal mapping'!$A:$A,0))</f>
        <v>PRON</v>
      </c>
      <c r="AC337" s="7">
        <f t="shared" si="50"/>
        <v>1</v>
      </c>
      <c r="AD337" s="7">
        <f t="shared" si="51"/>
        <v>1</v>
      </c>
      <c r="AF337" s="9" t="s">
        <v>119</v>
      </c>
      <c r="AG337" s="9" t="str">
        <f>INDEX('Brown tagset'!$B:$B,MATCH(IF(ISERROR(FIND("-",AF337)),IF(ISERROR(FIND("+",AF337)),AF337,LEFT(AF337,FIND("+",AF337)-1)),LEFT(AF337,FIND("-",AF337)-1)),'Brown tagset'!$A:$A,0))</f>
        <v>nominative wh- pronoun (who, which, that)</v>
      </c>
      <c r="AH337" s="9" t="s">
        <v>2</v>
      </c>
      <c r="AI337" s="9" t="str">
        <f>INDEX('Brown-Universal mapping'!$B:$B,MATCH(AF337,'Brown-Universal mapping'!$A:$A,0))</f>
        <v>PRON</v>
      </c>
      <c r="AJ337" s="9">
        <f t="shared" si="59"/>
        <v>1</v>
      </c>
      <c r="AK337" s="9">
        <f t="shared" si="60"/>
        <v>1</v>
      </c>
      <c r="AM337" s="6">
        <f t="shared" si="52"/>
        <v>3</v>
      </c>
      <c r="AN337" s="6">
        <f t="shared" si="53"/>
        <v>3</v>
      </c>
      <c r="AP337" s="6" t="str">
        <f t="shared" si="54"/>
        <v>nominative wh- pronoun (who, which, that)3</v>
      </c>
    </row>
    <row r="338" spans="1:42" x14ac:dyDescent="0.25">
      <c r="A338" s="4" t="s">
        <v>269</v>
      </c>
      <c r="D338" s="3" t="s">
        <v>270</v>
      </c>
      <c r="E338" s="3" t="str">
        <f>INDEX('Brown tagset'!$B:$B,MATCH(IF(ISERROR(FIND("-",D338)),IF(ISERROR(FIND("+",D338)),D338,LEFT(D338,FIND("+",D338)-1)),LEFT(D338,FIND("-",D338)-1)),'Brown tagset'!$A:$A,0))</f>
        <v>was</v>
      </c>
      <c r="F338" s="3"/>
      <c r="G338" s="3" t="str">
        <f>INDEX('Brown-Universal mapping'!$B:$B,MATCH(D338,'Brown-Universal mapping'!$A:$A,0))</f>
        <v>VERB</v>
      </c>
      <c r="I338" s="5" t="s">
        <v>270</v>
      </c>
      <c r="J338" s="5" t="str">
        <f>INDEX('Brown tagset'!$B:$B,MATCH(IF(ISERROR(FIND("-",I338)),IF(ISERROR(FIND("+",I338)),I338,LEFT(I338,FIND("+",I338)-1)),LEFT(I338,FIND("-",I338)-1)),'Brown tagset'!$A:$A,0))</f>
        <v>was</v>
      </c>
      <c r="K338" s="5" t="s">
        <v>2</v>
      </c>
      <c r="L338" s="5" t="str">
        <f>INDEX('Brown-Universal mapping'!$B:$B,MATCH(I338,'Brown-Universal mapping'!$A:$A,0))</f>
        <v>VERB</v>
      </c>
      <c r="M338" s="5">
        <f t="shared" si="55"/>
        <v>1</v>
      </c>
      <c r="N338" s="5">
        <f t="shared" si="56"/>
        <v>1</v>
      </c>
      <c r="P338" s="12" t="s">
        <v>269</v>
      </c>
      <c r="Q338" s="7" t="s">
        <v>337</v>
      </c>
      <c r="R338" s="7" t="str">
        <f>INDEX('Brown tagset'!$B:$B,MATCH(IF(ISERROR(FIND("-",Q338)),IF(ISERROR(FIND("+",Q338)),Q338,LEFT(Q338,FIND("+",Q338)-1)),LEFT(Q338,FIND("-",Q338)-1)),'Brown tagset'!$A:$A,0))</f>
        <v>was</v>
      </c>
      <c r="S338" s="7"/>
      <c r="T338" s="7" t="str">
        <f>INDEX('Brown-Universal mapping'!$B:$B,MATCH(Q338,'Brown-Universal mapping'!$A:$A,0))</f>
        <v>VERB</v>
      </c>
      <c r="U338" s="7">
        <f t="shared" si="57"/>
        <v>1</v>
      </c>
      <c r="V338" s="7">
        <f t="shared" si="58"/>
        <v>1</v>
      </c>
      <c r="X338" s="12" t="s">
        <v>269</v>
      </c>
      <c r="Y338" s="7" t="s">
        <v>337</v>
      </c>
      <c r="Z338" s="7" t="str">
        <f>INDEX('Brown tagset'!$B:$B,MATCH(IF(ISERROR(FIND("-",Y338)),IF(ISERROR(FIND("+",Y338)),Y338,LEFT(Y338,FIND("+",Y338)-1)),LEFT(Y338,FIND("-",Y338)-1)),'Brown tagset'!$A:$A,0))</f>
        <v>was</v>
      </c>
      <c r="AA338" s="7"/>
      <c r="AB338" s="7" t="str">
        <f>INDEX('Brown-Universal mapping'!$B:$B,MATCH(Y338,'Brown-Universal mapping'!$A:$A,0))</f>
        <v>VERB</v>
      </c>
      <c r="AC338" s="7">
        <f t="shared" si="50"/>
        <v>1</v>
      </c>
      <c r="AD338" s="7">
        <f t="shared" si="51"/>
        <v>1</v>
      </c>
      <c r="AF338" s="9" t="s">
        <v>270</v>
      </c>
      <c r="AG338" s="9" t="str">
        <f>INDEX('Brown tagset'!$B:$B,MATCH(IF(ISERROR(FIND("-",AF338)),IF(ISERROR(FIND("+",AF338)),AF338,LEFT(AF338,FIND("+",AF338)-1)),LEFT(AF338,FIND("-",AF338)-1)),'Brown tagset'!$A:$A,0))</f>
        <v>was</v>
      </c>
      <c r="AH338" s="9" t="s">
        <v>2</v>
      </c>
      <c r="AI338" s="9" t="str">
        <f>INDEX('Brown-Universal mapping'!$B:$B,MATCH(AF338,'Brown-Universal mapping'!$A:$A,0))</f>
        <v>VERB</v>
      </c>
      <c r="AJ338" s="9">
        <f t="shared" si="59"/>
        <v>1</v>
      </c>
      <c r="AK338" s="9">
        <f t="shared" si="60"/>
        <v>1</v>
      </c>
      <c r="AM338" s="6">
        <f t="shared" si="52"/>
        <v>3</v>
      </c>
      <c r="AN338" s="6">
        <f t="shared" si="53"/>
        <v>3</v>
      </c>
      <c r="AP338" s="6" t="str">
        <f t="shared" si="54"/>
        <v>was3</v>
      </c>
    </row>
    <row r="339" spans="1:42" x14ac:dyDescent="0.25">
      <c r="A339" s="4" t="s">
        <v>78</v>
      </c>
      <c r="D339" s="3" t="s">
        <v>59</v>
      </c>
      <c r="E339" s="3" t="str">
        <f>INDEX('Brown tagset'!$B:$B,MATCH(IF(ISERROR(FIND("-",D339)),IF(ISERROR(FIND("+",D339)),D339,LEFT(D339,FIND("+",D339)-1)),LEFT(D339,FIND("-",D339)-1)),'Brown tagset'!$A:$A,0))</f>
        <v>preposition</v>
      </c>
      <c r="F339" s="3"/>
      <c r="G339" s="3" t="str">
        <f>INDEX('Brown-Universal mapping'!$B:$B,MATCH(D339,'Brown-Universal mapping'!$A:$A,0))</f>
        <v>ADP</v>
      </c>
      <c r="I339" s="5" t="s">
        <v>59</v>
      </c>
      <c r="J339" s="5" t="str">
        <f>INDEX('Brown tagset'!$B:$B,MATCH(IF(ISERROR(FIND("-",I339)),IF(ISERROR(FIND("+",I339)),I339,LEFT(I339,FIND("+",I339)-1)),LEFT(I339,FIND("-",I339)-1)),'Brown tagset'!$A:$A,0))</f>
        <v>preposition</v>
      </c>
      <c r="K339" s="5" t="s">
        <v>60</v>
      </c>
      <c r="L339" s="5" t="str">
        <f>INDEX('Brown-Universal mapping'!$B:$B,MATCH(I339,'Brown-Universal mapping'!$A:$A,0))</f>
        <v>ADP</v>
      </c>
      <c r="M339" s="5">
        <f t="shared" si="55"/>
        <v>1</v>
      </c>
      <c r="N339" s="5">
        <f t="shared" si="56"/>
        <v>1</v>
      </c>
      <c r="P339" s="12" t="s">
        <v>78</v>
      </c>
      <c r="Q339" s="7" t="s">
        <v>124</v>
      </c>
      <c r="R339" s="7" t="str">
        <f>INDEX('Brown tagset'!$B:$B,MATCH(IF(ISERROR(FIND("-",Q339)),IF(ISERROR(FIND("+",Q339)),Q339,LEFT(Q339,FIND("+",Q339)-1)),LEFT(Q339,FIND("-",Q339)-1)),'Brown tagset'!$A:$A,0))</f>
        <v>preposition</v>
      </c>
      <c r="S339" s="7"/>
      <c r="T339" s="7" t="str">
        <f>INDEX('Brown-Universal mapping'!$B:$B,MATCH(Q339,'Brown-Universal mapping'!$A:$A,0))</f>
        <v>ADP</v>
      </c>
      <c r="U339" s="7">
        <f t="shared" si="57"/>
        <v>1</v>
      </c>
      <c r="V339" s="7">
        <f t="shared" si="58"/>
        <v>1</v>
      </c>
      <c r="X339" s="12" t="s">
        <v>78</v>
      </c>
      <c r="Y339" s="7" t="s">
        <v>124</v>
      </c>
      <c r="Z339" s="7" t="str">
        <f>INDEX('Brown tagset'!$B:$B,MATCH(IF(ISERROR(FIND("-",Y339)),IF(ISERROR(FIND("+",Y339)),Y339,LEFT(Y339,FIND("+",Y339)-1)),LEFT(Y339,FIND("-",Y339)-1)),'Brown tagset'!$A:$A,0))</f>
        <v>preposition</v>
      </c>
      <c r="AA339" s="7"/>
      <c r="AB339" s="7" t="str">
        <f>INDEX('Brown-Universal mapping'!$B:$B,MATCH(Y339,'Brown-Universal mapping'!$A:$A,0))</f>
        <v>ADP</v>
      </c>
      <c r="AC339" s="7">
        <f t="shared" si="50"/>
        <v>1</v>
      </c>
      <c r="AD339" s="7">
        <f t="shared" si="51"/>
        <v>1</v>
      </c>
      <c r="AF339" s="9" t="s">
        <v>59</v>
      </c>
      <c r="AG339" s="9" t="str">
        <f>INDEX('Brown tagset'!$B:$B,MATCH(IF(ISERROR(FIND("-",AF339)),IF(ISERROR(FIND("+",AF339)),AF339,LEFT(AF339,FIND("+",AF339)-1)),LEFT(AF339,FIND("-",AF339)-1)),'Brown tagset'!$A:$A,0))</f>
        <v>preposition</v>
      </c>
      <c r="AH339" s="9" t="s">
        <v>60</v>
      </c>
      <c r="AI339" s="9" t="str">
        <f>INDEX('Brown-Universal mapping'!$B:$B,MATCH(AF339,'Brown-Universal mapping'!$A:$A,0))</f>
        <v>ADP</v>
      </c>
      <c r="AJ339" s="9">
        <f t="shared" si="59"/>
        <v>1</v>
      </c>
      <c r="AK339" s="9">
        <f t="shared" si="60"/>
        <v>1</v>
      </c>
      <c r="AM339" s="6">
        <f t="shared" si="52"/>
        <v>3</v>
      </c>
      <c r="AN339" s="6">
        <f t="shared" si="53"/>
        <v>3</v>
      </c>
      <c r="AP339" s="6" t="str">
        <f t="shared" si="54"/>
        <v>preposition3</v>
      </c>
    </row>
    <row r="340" spans="1:42" x14ac:dyDescent="0.25">
      <c r="A340" s="4" t="s">
        <v>271</v>
      </c>
      <c r="D340" s="3" t="s">
        <v>113</v>
      </c>
      <c r="E340" s="3" t="str">
        <f>INDEX('Brown tagset'!$B:$B,MATCH(IF(ISERROR(FIND("-",D340)),IF(ISERROR(FIND("+",D340)),D340,LEFT(D340,FIND("+",D340)-1)),LEFT(D340,FIND("-",D340)-1)),'Brown tagset'!$A:$A,0))</f>
        <v>objective personal pronoun (me, him, it, them)</v>
      </c>
      <c r="F340" s="3"/>
      <c r="G340" s="3" t="str">
        <f>INDEX('Brown-Universal mapping'!$B:$B,MATCH(D340,'Brown-Universal mapping'!$A:$A,0))</f>
        <v>PRON</v>
      </c>
      <c r="I340" s="5" t="s">
        <v>113</v>
      </c>
      <c r="J340" s="5" t="str">
        <f>INDEX('Brown tagset'!$B:$B,MATCH(IF(ISERROR(FIND("-",I340)),IF(ISERROR(FIND("+",I340)),I340,LEFT(I340,FIND("+",I340)-1)),LEFT(I340,FIND("-",I340)-1)),'Brown tagset'!$A:$A,0))</f>
        <v>objective personal pronoun (me, him, it, them)</v>
      </c>
      <c r="K340" s="5" t="s">
        <v>2</v>
      </c>
      <c r="L340" s="5" t="str">
        <f>INDEX('Brown-Universal mapping'!$B:$B,MATCH(I340,'Brown-Universal mapping'!$A:$A,0))</f>
        <v>PRON</v>
      </c>
      <c r="M340" s="5">
        <f t="shared" si="55"/>
        <v>1</v>
      </c>
      <c r="N340" s="5">
        <f t="shared" si="56"/>
        <v>1</v>
      </c>
      <c r="P340" s="12" t="s">
        <v>271</v>
      </c>
      <c r="Q340" s="7" t="s">
        <v>316</v>
      </c>
      <c r="R340" s="7" t="str">
        <f>INDEX('Brown tagset'!$B:$B,MATCH(IF(ISERROR(FIND("-",Q340)),IF(ISERROR(FIND("+",Q340)),Q340,LEFT(Q340,FIND("+",Q340)-1)),LEFT(Q340,FIND("-",Q340)-1)),'Brown tagset'!$A:$A,0))</f>
        <v>objective personal pronoun (me, him, it, them)</v>
      </c>
      <c r="S340" s="7"/>
      <c r="T340" s="7" t="str">
        <f>INDEX('Brown-Universal mapping'!$B:$B,MATCH(Q340,'Brown-Universal mapping'!$A:$A,0))</f>
        <v>PRON</v>
      </c>
      <c r="U340" s="7">
        <f t="shared" si="57"/>
        <v>1</v>
      </c>
      <c r="V340" s="7">
        <f t="shared" si="58"/>
        <v>1</v>
      </c>
      <c r="X340" s="12" t="s">
        <v>271</v>
      </c>
      <c r="Y340" s="7" t="s">
        <v>316</v>
      </c>
      <c r="Z340" s="7" t="str">
        <f>INDEX('Brown tagset'!$B:$B,MATCH(IF(ISERROR(FIND("-",Y340)),IF(ISERROR(FIND("+",Y340)),Y340,LEFT(Y340,FIND("+",Y340)-1)),LEFT(Y340,FIND("-",Y340)-1)),'Brown tagset'!$A:$A,0))</f>
        <v>objective personal pronoun (me, him, it, them)</v>
      </c>
      <c r="AA340" s="7"/>
      <c r="AB340" s="7" t="str">
        <f>INDEX('Brown-Universal mapping'!$B:$B,MATCH(Y340,'Brown-Universal mapping'!$A:$A,0))</f>
        <v>PRON</v>
      </c>
      <c r="AC340" s="7">
        <f t="shared" si="50"/>
        <v>1</v>
      </c>
      <c r="AD340" s="7">
        <f t="shared" si="51"/>
        <v>1</v>
      </c>
      <c r="AF340" s="9" t="s">
        <v>113</v>
      </c>
      <c r="AG340" s="9" t="str">
        <f>INDEX('Brown tagset'!$B:$B,MATCH(IF(ISERROR(FIND("-",AF340)),IF(ISERROR(FIND("+",AF340)),AF340,LEFT(AF340,FIND("+",AF340)-1)),LEFT(AF340,FIND("-",AF340)-1)),'Brown tagset'!$A:$A,0))</f>
        <v>objective personal pronoun (me, him, it, them)</v>
      </c>
      <c r="AH340" s="9" t="s">
        <v>2</v>
      </c>
      <c r="AI340" s="9" t="str">
        <f>INDEX('Brown-Universal mapping'!$B:$B,MATCH(AF340,'Brown-Universal mapping'!$A:$A,0))</f>
        <v>PRON</v>
      </c>
      <c r="AJ340" s="9">
        <f t="shared" si="59"/>
        <v>1</v>
      </c>
      <c r="AK340" s="9">
        <f t="shared" si="60"/>
        <v>1</v>
      </c>
      <c r="AM340" s="6">
        <f t="shared" si="52"/>
        <v>3</v>
      </c>
      <c r="AN340" s="6">
        <f t="shared" si="53"/>
        <v>3</v>
      </c>
      <c r="AP340" s="6" t="str">
        <f t="shared" si="54"/>
        <v>objective personal pronoun (me, him, it, them)3</v>
      </c>
    </row>
    <row r="341" spans="1:42" x14ac:dyDescent="0.25">
      <c r="A341" s="4" t="s">
        <v>272</v>
      </c>
      <c r="D341" s="3" t="s">
        <v>103</v>
      </c>
      <c r="E341" s="3" t="str">
        <f>INDEX('Brown tagset'!$B:$B,MATCH(IF(ISERROR(FIND("-",D341)),IF(ISERROR(FIND("+",D341)),D341,LEFT(D341,FIND("+",D341)-1)),LEFT(D341,FIND("-",D341)-1)),'Brown tagset'!$A:$A,0))</f>
        <v>post-determiner (many, several, next)</v>
      </c>
      <c r="F341" s="3"/>
      <c r="G341" s="3" t="str">
        <f>INDEX('Brown-Universal mapping'!$B:$B,MATCH(D341,'Brown-Universal mapping'!$A:$A,0))</f>
        <v>ADJ</v>
      </c>
      <c r="I341" s="5" t="s">
        <v>103</v>
      </c>
      <c r="J341" s="5" t="str">
        <f>INDEX('Brown tagset'!$B:$B,MATCH(IF(ISERROR(FIND("-",I341)),IF(ISERROR(FIND("+",I341)),I341,LEFT(I341,FIND("+",I341)-1)),LEFT(I341,FIND("-",I341)-1)),'Brown tagset'!$A:$A,0))</f>
        <v>post-determiner (many, several, next)</v>
      </c>
      <c r="K341" s="5" t="s">
        <v>2</v>
      </c>
      <c r="L341" s="5" t="str">
        <f>INDEX('Brown-Universal mapping'!$B:$B,MATCH(I341,'Brown-Universal mapping'!$A:$A,0))</f>
        <v>ADJ</v>
      </c>
      <c r="M341" s="5">
        <f t="shared" si="55"/>
        <v>1</v>
      </c>
      <c r="N341" s="5">
        <f t="shared" si="56"/>
        <v>1</v>
      </c>
      <c r="P341" s="12" t="s">
        <v>272</v>
      </c>
      <c r="Q341" s="7" t="s">
        <v>332</v>
      </c>
      <c r="R341" s="7" t="str">
        <f>INDEX('Brown tagset'!$B:$B,MATCH(IF(ISERROR(FIND("-",Q341)),IF(ISERROR(FIND("+",Q341)),Q341,LEFT(Q341,FIND("+",Q341)-1)),LEFT(Q341,FIND("-",Q341)-1)),'Brown tagset'!$A:$A,0))</f>
        <v>post-determiner (many, several, next)</v>
      </c>
      <c r="S341" s="7"/>
      <c r="T341" s="7" t="str">
        <f>INDEX('Brown-Universal mapping'!$B:$B,MATCH(Q341,'Brown-Universal mapping'!$A:$A,0))</f>
        <v>ADJ</v>
      </c>
      <c r="U341" s="7">
        <f t="shared" si="57"/>
        <v>1</v>
      </c>
      <c r="V341" s="7">
        <f t="shared" si="58"/>
        <v>1</v>
      </c>
      <c r="X341" s="12" t="s">
        <v>272</v>
      </c>
      <c r="Y341" s="7" t="s">
        <v>332</v>
      </c>
      <c r="Z341" s="7" t="str">
        <f>INDEX('Brown tagset'!$B:$B,MATCH(IF(ISERROR(FIND("-",Y341)),IF(ISERROR(FIND("+",Y341)),Y341,LEFT(Y341,FIND("+",Y341)-1)),LEFT(Y341,FIND("-",Y341)-1)),'Brown tagset'!$A:$A,0))</f>
        <v>post-determiner (many, several, next)</v>
      </c>
      <c r="AA341" s="7"/>
      <c r="AB341" s="7" t="str">
        <f>INDEX('Brown-Universal mapping'!$B:$B,MATCH(Y341,'Brown-Universal mapping'!$A:$A,0))</f>
        <v>ADJ</v>
      </c>
      <c r="AC341" s="7">
        <f t="shared" ref="AC341:AC369" si="61">IF(Y341=$D341,1,0)</f>
        <v>1</v>
      </c>
      <c r="AD341" s="7">
        <f t="shared" ref="AD341:AD369" si="62">IF(AB341=$G341,1,0)</f>
        <v>1</v>
      </c>
      <c r="AF341" s="9" t="s">
        <v>103</v>
      </c>
      <c r="AG341" s="9" t="str">
        <f>INDEX('Brown tagset'!$B:$B,MATCH(IF(ISERROR(FIND("-",AF341)),IF(ISERROR(FIND("+",AF341)),AF341,LEFT(AF341,FIND("+",AF341)-1)),LEFT(AF341,FIND("-",AF341)-1)),'Brown tagset'!$A:$A,0))</f>
        <v>post-determiner (many, several, next)</v>
      </c>
      <c r="AH341" s="9" t="s">
        <v>2</v>
      </c>
      <c r="AI341" s="9" t="str">
        <f>INDEX('Brown-Universal mapping'!$B:$B,MATCH(AF341,'Brown-Universal mapping'!$A:$A,0))</f>
        <v>ADJ</v>
      </c>
      <c r="AJ341" s="9">
        <f t="shared" si="59"/>
        <v>1</v>
      </c>
      <c r="AK341" s="9">
        <f t="shared" si="60"/>
        <v>1</v>
      </c>
      <c r="AM341" s="6">
        <f t="shared" ref="AM341:AM369" si="63">M341+AC341+AJ341</f>
        <v>3</v>
      </c>
      <c r="AN341" s="6">
        <f t="shared" ref="AN341:AN369" si="64">N341+AD341+AK341</f>
        <v>3</v>
      </c>
      <c r="AP341" s="6" t="str">
        <f t="shared" ref="AP341:AP370" si="65">AG341&amp;AM341</f>
        <v>post-determiner (many, several, next)3</v>
      </c>
    </row>
    <row r="342" spans="1:42" x14ac:dyDescent="0.25">
      <c r="A342" s="4" t="s">
        <v>273</v>
      </c>
      <c r="D342" s="3" t="s">
        <v>12</v>
      </c>
      <c r="E342" s="3" t="str">
        <f>INDEX('Brown tagset'!$B:$B,MATCH(IF(ISERROR(FIND("-",D342)),IF(ISERROR(FIND("+",D342)),D342,LEFT(D342,FIND("+",D342)-1)),LEFT(D342,FIND("-",D342)-1)),'Brown tagset'!$A:$A,0))</f>
        <v>singular or mass noun</v>
      </c>
      <c r="F342" s="3"/>
      <c r="G342" s="3" t="str">
        <f>INDEX('Brown-Universal mapping'!$B:$B,MATCH(D342,'Brown-Universal mapping'!$A:$A,0))</f>
        <v>NOUN</v>
      </c>
      <c r="I342" s="5" t="s">
        <v>12</v>
      </c>
      <c r="J342" s="5" t="str">
        <f>INDEX('Brown tagset'!$B:$B,MATCH(IF(ISERROR(FIND("-",I342)),IF(ISERROR(FIND("+",I342)),I342,LEFT(I342,FIND("+",I342)-1)),LEFT(I342,FIND("-",I342)-1)),'Brown tagset'!$A:$A,0))</f>
        <v>singular or mass noun</v>
      </c>
      <c r="K342" s="5" t="s">
        <v>13</v>
      </c>
      <c r="L342" s="5" t="str">
        <f>INDEX('Brown-Universal mapping'!$B:$B,MATCH(I342,'Brown-Universal mapping'!$A:$A,0))</f>
        <v>NOUN</v>
      </c>
      <c r="M342" s="5">
        <f t="shared" si="55"/>
        <v>1</v>
      </c>
      <c r="N342" s="5">
        <f t="shared" si="56"/>
        <v>1</v>
      </c>
      <c r="P342" s="12" t="s">
        <v>273</v>
      </c>
      <c r="Q342" s="7" t="s">
        <v>289</v>
      </c>
      <c r="R342" s="7" t="str">
        <f>INDEX('Brown tagset'!$B:$B,MATCH(IF(ISERROR(FIND("-",Q342)),IF(ISERROR(FIND("+",Q342)),Q342,LEFT(Q342,FIND("+",Q342)-1)),LEFT(Q342,FIND("-",Q342)-1)),'Brown tagset'!$A:$A,0))</f>
        <v>singular or mass noun</v>
      </c>
      <c r="S342" s="7"/>
      <c r="T342" s="7" t="str">
        <f>INDEX('Brown-Universal mapping'!$B:$B,MATCH(Q342,'Brown-Universal mapping'!$A:$A,0))</f>
        <v>NOUN</v>
      </c>
      <c r="U342" s="7">
        <f t="shared" si="57"/>
        <v>1</v>
      </c>
      <c r="V342" s="7">
        <f t="shared" si="58"/>
        <v>1</v>
      </c>
      <c r="X342" s="12" t="s">
        <v>273</v>
      </c>
      <c r="Y342" s="7" t="s">
        <v>289</v>
      </c>
      <c r="Z342" s="7" t="str">
        <f>INDEX('Brown tagset'!$B:$B,MATCH(IF(ISERROR(FIND("-",Y342)),IF(ISERROR(FIND("+",Y342)),Y342,LEFT(Y342,FIND("+",Y342)-1)),LEFT(Y342,FIND("-",Y342)-1)),'Brown tagset'!$A:$A,0))</f>
        <v>singular or mass noun</v>
      </c>
      <c r="AA342" s="7"/>
      <c r="AB342" s="7" t="str">
        <f>INDEX('Brown-Universal mapping'!$B:$B,MATCH(Y342,'Brown-Universal mapping'!$A:$A,0))</f>
        <v>NOUN</v>
      </c>
      <c r="AC342" s="7">
        <f t="shared" si="61"/>
        <v>1</v>
      </c>
      <c r="AD342" s="7">
        <f t="shared" si="62"/>
        <v>1</v>
      </c>
      <c r="AF342" s="9" t="s">
        <v>12</v>
      </c>
      <c r="AG342" s="9" t="str">
        <f>INDEX('Brown tagset'!$B:$B,MATCH(IF(ISERROR(FIND("-",AF342)),IF(ISERROR(FIND("+",AF342)),AF342,LEFT(AF342,FIND("+",AF342)-1)),LEFT(AF342,FIND("-",AF342)-1)),'Brown tagset'!$A:$A,0))</f>
        <v>singular or mass noun</v>
      </c>
      <c r="AH342" s="9" t="s">
        <v>13</v>
      </c>
      <c r="AI342" s="9" t="str">
        <f>INDEX('Brown-Universal mapping'!$B:$B,MATCH(AF342,'Brown-Universal mapping'!$A:$A,0))</f>
        <v>NOUN</v>
      </c>
      <c r="AJ342" s="9">
        <f t="shared" si="59"/>
        <v>1</v>
      </c>
      <c r="AK342" s="9">
        <f t="shared" si="60"/>
        <v>1</v>
      </c>
      <c r="AM342" s="6">
        <f t="shared" si="63"/>
        <v>3</v>
      </c>
      <c r="AN342" s="6">
        <f t="shared" si="64"/>
        <v>3</v>
      </c>
      <c r="AP342" s="6" t="str">
        <f t="shared" si="65"/>
        <v>singular or mass noun3</v>
      </c>
    </row>
    <row r="343" spans="1:42" x14ac:dyDescent="0.25">
      <c r="A343" s="4" t="s">
        <v>72</v>
      </c>
      <c r="D343" s="3" t="s">
        <v>38</v>
      </c>
      <c r="E343" s="3" t="str">
        <f>INDEX('Brown tagset'!$B:$B,MATCH(IF(ISERROR(FIND("-",D343)),IF(ISERROR(FIND("+",D343)),D343,LEFT(D343,FIND("+",D343)-1)),LEFT(D343,FIND("-",D343)-1)),'Brown tagset'!$A:$A,0))</f>
        <v>sentence (. ; ? *)</v>
      </c>
      <c r="F343" s="3"/>
      <c r="G343" s="3" t="str">
        <f>INDEX('Brown-Universal mapping'!$B:$B,MATCH(D343,'Brown-Universal mapping'!$A:$A,0))</f>
        <v>.</v>
      </c>
      <c r="I343" s="5" t="s">
        <v>38</v>
      </c>
      <c r="J343" s="5" t="str">
        <f>INDEX('Brown tagset'!$B:$B,MATCH(IF(ISERROR(FIND("-",I343)),IF(ISERROR(FIND("+",I343)),I343,LEFT(I343,FIND("+",I343)-1)),LEFT(I343,FIND("-",I343)-1)),'Brown tagset'!$A:$A,0))</f>
        <v>sentence (. ; ? *)</v>
      </c>
      <c r="K343" s="5" t="s">
        <v>38</v>
      </c>
      <c r="L343" s="5" t="str">
        <f>INDEX('Brown-Universal mapping'!$B:$B,MATCH(I343,'Brown-Universal mapping'!$A:$A,0))</f>
        <v>.</v>
      </c>
      <c r="M343" s="5">
        <f t="shared" si="55"/>
        <v>1</v>
      </c>
      <c r="N343" s="5">
        <f t="shared" si="56"/>
        <v>1</v>
      </c>
      <c r="P343" s="12" t="s">
        <v>72</v>
      </c>
      <c r="Q343" s="7" t="s">
        <v>38</v>
      </c>
      <c r="R343" s="7" t="str">
        <f>INDEX('Brown tagset'!$B:$B,MATCH(IF(ISERROR(FIND("-",Q343)),IF(ISERROR(FIND("+",Q343)),Q343,LEFT(Q343,FIND("+",Q343)-1)),LEFT(Q343,FIND("-",Q343)-1)),'Brown tagset'!$A:$A,0))</f>
        <v>sentence (. ; ? *)</v>
      </c>
      <c r="S343" s="7"/>
      <c r="T343" s="7" t="str">
        <f>INDEX('Brown-Universal mapping'!$B:$B,MATCH(Q343,'Brown-Universal mapping'!$A:$A,0))</f>
        <v>.</v>
      </c>
      <c r="U343" s="7">
        <f t="shared" si="57"/>
        <v>1</v>
      </c>
      <c r="V343" s="7">
        <f t="shared" si="58"/>
        <v>1</v>
      </c>
      <c r="X343" s="12" t="s">
        <v>72</v>
      </c>
      <c r="Y343" s="7" t="s">
        <v>38</v>
      </c>
      <c r="Z343" s="7" t="str">
        <f>INDEX('Brown tagset'!$B:$B,MATCH(IF(ISERROR(FIND("-",Y343)),IF(ISERROR(FIND("+",Y343)),Y343,LEFT(Y343,FIND("+",Y343)-1)),LEFT(Y343,FIND("-",Y343)-1)),'Brown tagset'!$A:$A,0))</f>
        <v>sentence (. ; ? *)</v>
      </c>
      <c r="AA343" s="7"/>
      <c r="AB343" s="7" t="str">
        <f>INDEX('Brown-Universal mapping'!$B:$B,MATCH(Y343,'Brown-Universal mapping'!$A:$A,0))</f>
        <v>.</v>
      </c>
      <c r="AC343" s="7">
        <f t="shared" si="61"/>
        <v>1</v>
      </c>
      <c r="AD343" s="7">
        <f t="shared" si="62"/>
        <v>1</v>
      </c>
      <c r="AF343" s="9" t="s">
        <v>38</v>
      </c>
      <c r="AG343" s="9" t="str">
        <f>INDEX('Brown tagset'!$B:$B,MATCH(IF(ISERROR(FIND("-",AF343)),IF(ISERROR(FIND("+",AF343)),AF343,LEFT(AF343,FIND("+",AF343)-1)),LEFT(AF343,FIND("-",AF343)-1)),'Brown tagset'!$A:$A,0))</f>
        <v>sentence (. ; ? *)</v>
      </c>
      <c r="AH343" s="9" t="s">
        <v>38</v>
      </c>
      <c r="AI343" s="9" t="str">
        <f>INDEX('Brown-Universal mapping'!$B:$B,MATCH(AF343,'Brown-Universal mapping'!$A:$A,0))</f>
        <v>.</v>
      </c>
      <c r="AJ343" s="9">
        <f t="shared" si="59"/>
        <v>1</v>
      </c>
      <c r="AK343" s="9">
        <f t="shared" si="60"/>
        <v>1</v>
      </c>
      <c r="AM343" s="6">
        <f t="shared" si="63"/>
        <v>3</v>
      </c>
      <c r="AN343" s="6">
        <f t="shared" si="64"/>
        <v>3</v>
      </c>
      <c r="AP343" s="6" t="str">
        <f t="shared" si="65"/>
        <v>sentence (. ; ? *)3</v>
      </c>
    </row>
    <row r="344" spans="1:42" x14ac:dyDescent="0.25">
      <c r="A344" s="4" t="s">
        <v>274</v>
      </c>
      <c r="D344" s="3" t="s">
        <v>66</v>
      </c>
      <c r="E344" s="3" t="str">
        <f>INDEX('Brown tagset'!$B:$B,MATCH(IF(ISERROR(FIND("-",D344)),IF(ISERROR(FIND("+",D344)),D344,LEFT(D344,FIND("+",D344)-1)),LEFT(D344,FIND("-",D344)-1)),'Brown tagset'!$A:$A,0))</f>
        <v>proper noun or part of name phrase</v>
      </c>
      <c r="F344" s="3"/>
      <c r="G344" s="3" t="str">
        <f>INDEX('Brown-Universal mapping'!$B:$B,MATCH(D344,'Brown-Universal mapping'!$A:$A,0))</f>
        <v>NOUN</v>
      </c>
      <c r="I344" s="5" t="s">
        <v>66</v>
      </c>
      <c r="J344" s="5" t="str">
        <f>INDEX('Brown tagset'!$B:$B,MATCH(IF(ISERROR(FIND("-",I344)),IF(ISERROR(FIND("+",I344)),I344,LEFT(I344,FIND("+",I344)-1)),LEFT(I344,FIND("-",I344)-1)),'Brown tagset'!$A:$A,0))</f>
        <v>proper noun or part of name phrase</v>
      </c>
      <c r="K344" s="5" t="s">
        <v>13</v>
      </c>
      <c r="L344" s="5" t="str">
        <f>INDEX('Brown-Universal mapping'!$B:$B,MATCH(I344,'Brown-Universal mapping'!$A:$A,0))</f>
        <v>NOUN</v>
      </c>
      <c r="M344" s="5">
        <f t="shared" si="55"/>
        <v>1</v>
      </c>
      <c r="N344" s="5">
        <f t="shared" si="56"/>
        <v>1</v>
      </c>
      <c r="P344" s="12" t="s">
        <v>274</v>
      </c>
      <c r="Q344" s="7" t="s">
        <v>287</v>
      </c>
      <c r="R344" s="7" t="str">
        <f>INDEX('Brown tagset'!$B:$B,MATCH(IF(ISERROR(FIND("-",Q344)),IF(ISERROR(FIND("+",Q344)),Q344,LEFT(Q344,FIND("+",Q344)-1)),LEFT(Q344,FIND("-",Q344)-1)),'Brown tagset'!$A:$A,0))</f>
        <v>proper noun or part of name phrase</v>
      </c>
      <c r="S344" s="7"/>
      <c r="T344" s="7" t="str">
        <f>INDEX('Brown-Universal mapping'!$B:$B,MATCH(Q344,'Brown-Universal mapping'!$A:$A,0))</f>
        <v>NOUN</v>
      </c>
      <c r="U344" s="7">
        <f t="shared" si="57"/>
        <v>1</v>
      </c>
      <c r="V344" s="7">
        <f t="shared" si="58"/>
        <v>1</v>
      </c>
      <c r="X344" s="12" t="s">
        <v>274</v>
      </c>
      <c r="Y344" s="7" t="s">
        <v>287</v>
      </c>
      <c r="Z344" s="7" t="str">
        <f>INDEX('Brown tagset'!$B:$B,MATCH(IF(ISERROR(FIND("-",Y344)),IF(ISERROR(FIND("+",Y344)),Y344,LEFT(Y344,FIND("+",Y344)-1)),LEFT(Y344,FIND("-",Y344)-1)),'Brown tagset'!$A:$A,0))</f>
        <v>proper noun or part of name phrase</v>
      </c>
      <c r="AA344" s="7"/>
      <c r="AB344" s="7" t="str">
        <f>INDEX('Brown-Universal mapping'!$B:$B,MATCH(Y344,'Brown-Universal mapping'!$A:$A,0))</f>
        <v>NOUN</v>
      </c>
      <c r="AC344" s="7">
        <f t="shared" si="61"/>
        <v>1</v>
      </c>
      <c r="AD344" s="7">
        <f t="shared" si="62"/>
        <v>1</v>
      </c>
      <c r="AF344" s="9" t="s">
        <v>66</v>
      </c>
      <c r="AG344" s="9" t="str">
        <f>INDEX('Brown tagset'!$B:$B,MATCH(IF(ISERROR(FIND("-",AF344)),IF(ISERROR(FIND("+",AF344)),AF344,LEFT(AF344,FIND("+",AF344)-1)),LEFT(AF344,FIND("-",AF344)-1)),'Brown tagset'!$A:$A,0))</f>
        <v>proper noun or part of name phrase</v>
      </c>
      <c r="AH344" s="9" t="s">
        <v>13</v>
      </c>
      <c r="AI344" s="9" t="str">
        <f>INDEX('Brown-Universal mapping'!$B:$B,MATCH(AF344,'Brown-Universal mapping'!$A:$A,0))</f>
        <v>NOUN</v>
      </c>
      <c r="AJ344" s="9">
        <f t="shared" si="59"/>
        <v>1</v>
      </c>
      <c r="AK344" s="9">
        <f t="shared" si="60"/>
        <v>1</v>
      </c>
      <c r="AM344" s="6">
        <f t="shared" si="63"/>
        <v>3</v>
      </c>
      <c r="AN344" s="6">
        <f t="shared" si="64"/>
        <v>3</v>
      </c>
      <c r="AP344" s="6" t="str">
        <f t="shared" si="65"/>
        <v>proper noun or part of name phrase3</v>
      </c>
    </row>
    <row r="345" spans="1:42" x14ac:dyDescent="0.25">
      <c r="A345" s="25" t="s">
        <v>275</v>
      </c>
      <c r="B345" s="25"/>
      <c r="D345" s="3" t="s">
        <v>66</v>
      </c>
      <c r="E345" s="3" t="str">
        <f>INDEX('Brown tagset'!$B:$B,MATCH(IF(ISERROR(FIND("-",D345)),IF(ISERROR(FIND("+",D345)),D345,LEFT(D345,FIND("+",D345)-1)),LEFT(D345,FIND("-",D345)-1)),'Brown tagset'!$A:$A,0))</f>
        <v>proper noun or part of name phrase</v>
      </c>
      <c r="F345" s="3"/>
      <c r="G345" s="3" t="str">
        <f>INDEX('Brown-Universal mapping'!$B:$B,MATCH(D345,'Brown-Universal mapping'!$A:$A,0))</f>
        <v>NOUN</v>
      </c>
      <c r="I345" s="5" t="s">
        <v>66</v>
      </c>
      <c r="J345" s="5" t="str">
        <f>INDEX('Brown tagset'!$B:$B,MATCH(IF(ISERROR(FIND("-",I345)),IF(ISERROR(FIND("+",I345)),I345,LEFT(I345,FIND("+",I345)-1)),LEFT(I345,FIND("-",I345)-1)),'Brown tagset'!$A:$A,0))</f>
        <v>proper noun or part of name phrase</v>
      </c>
      <c r="K345" s="5" t="s">
        <v>13</v>
      </c>
      <c r="L345" s="5" t="str">
        <f>INDEX('Brown-Universal mapping'!$B:$B,MATCH(I345,'Brown-Universal mapping'!$A:$A,0))</f>
        <v>NOUN</v>
      </c>
      <c r="M345" s="5">
        <f t="shared" si="55"/>
        <v>1</v>
      </c>
      <c r="N345" s="5">
        <f t="shared" si="56"/>
        <v>1</v>
      </c>
      <c r="P345" s="12" t="s">
        <v>275</v>
      </c>
      <c r="Q345" s="7" t="s">
        <v>287</v>
      </c>
      <c r="R345" s="7" t="str">
        <f>INDEX('Brown tagset'!$B:$B,MATCH(IF(ISERROR(FIND("-",Q345)),IF(ISERROR(FIND("+",Q345)),Q345,LEFT(Q345,FIND("+",Q345)-1)),LEFT(Q345,FIND("-",Q345)-1)),'Brown tagset'!$A:$A,0))</f>
        <v>proper noun or part of name phrase</v>
      </c>
      <c r="S345" s="7"/>
      <c r="T345" s="7" t="str">
        <f>INDEX('Brown-Universal mapping'!$B:$B,MATCH(Q345,'Brown-Universal mapping'!$A:$A,0))</f>
        <v>NOUN</v>
      </c>
      <c r="U345" s="7">
        <f t="shared" si="57"/>
        <v>1</v>
      </c>
      <c r="V345" s="7">
        <f t="shared" si="58"/>
        <v>1</v>
      </c>
      <c r="X345" s="12" t="s">
        <v>275</v>
      </c>
      <c r="Y345" s="7" t="s">
        <v>287</v>
      </c>
      <c r="Z345" s="7" t="str">
        <f>INDEX('Brown tagset'!$B:$B,MATCH(IF(ISERROR(FIND("-",Y345)),IF(ISERROR(FIND("+",Y345)),Y345,LEFT(Y345,FIND("+",Y345)-1)),LEFT(Y345,FIND("-",Y345)-1)),'Brown tagset'!$A:$A,0))</f>
        <v>proper noun or part of name phrase</v>
      </c>
      <c r="AA345" s="7"/>
      <c r="AB345" s="7" t="str">
        <f>INDEX('Brown-Universal mapping'!$B:$B,MATCH(Y345,'Brown-Universal mapping'!$A:$A,0))</f>
        <v>NOUN</v>
      </c>
      <c r="AC345" s="7">
        <f t="shared" si="61"/>
        <v>1</v>
      </c>
      <c r="AD345" s="7">
        <f t="shared" si="62"/>
        <v>1</v>
      </c>
      <c r="AF345" s="9" t="s">
        <v>340</v>
      </c>
      <c r="AG345" s="9" t="str">
        <f>INDEX('Brown tagset'!$B:$B,MATCH(IF(ISERROR(FIND("-",AF345)),IF(ISERROR(FIND("+",AF345)),AF345,LEFT(AF345,FIND("+",AF345)-1)),LEFT(AF345,FIND("-",AF345)-1)),'Brown tagset'!$A:$A,0))</f>
        <v>unknown</v>
      </c>
      <c r="AH345" s="9" t="s">
        <v>2</v>
      </c>
      <c r="AI345" s="9" t="str">
        <f>INDEX('Brown-Universal mapping'!$B:$B,MATCH(AF345,'Brown-Universal mapping'!$A:$A,0))</f>
        <v>Unknown</v>
      </c>
      <c r="AJ345" s="9">
        <f t="shared" si="59"/>
        <v>0</v>
      </c>
      <c r="AK345" s="9">
        <f t="shared" si="60"/>
        <v>0</v>
      </c>
      <c r="AM345" s="6">
        <f t="shared" si="63"/>
        <v>2</v>
      </c>
      <c r="AN345" s="6">
        <f t="shared" si="64"/>
        <v>2</v>
      </c>
      <c r="AP345" s="6" t="str">
        <f t="shared" si="65"/>
        <v>unknown2</v>
      </c>
    </row>
    <row r="346" spans="1:42" x14ac:dyDescent="0.25">
      <c r="A346" s="4" t="s">
        <v>62</v>
      </c>
      <c r="D346" s="3" t="s">
        <v>62</v>
      </c>
      <c r="E346" s="3" t="str">
        <f>INDEX('Brown tagset'!$B:$B,MATCH(IF(ISERROR(FIND("-",D346)),IF(ISERROR(FIND("+",D346)),D346,LEFT(D346,FIND("+",D346)-1)),LEFT(D346,FIND("-",D346)-1)),'Brown tagset'!$A:$A,0))</f>
        <v>comma</v>
      </c>
      <c r="F346" s="3"/>
      <c r="G346" s="3" t="str">
        <f>INDEX('Brown-Universal mapping'!$B:$B,MATCH(D346,'Brown-Universal mapping'!$A:$A,0))</f>
        <v>.</v>
      </c>
      <c r="I346" s="5" t="s">
        <v>62</v>
      </c>
      <c r="J346" s="5" t="str">
        <f>INDEX('Brown tagset'!$B:$B,MATCH(IF(ISERROR(FIND("-",I346)),IF(ISERROR(FIND("+",I346)),I346,LEFT(I346,FIND("+",I346)-1)),LEFT(I346,FIND("-",I346)-1)),'Brown tagset'!$A:$A,0))</f>
        <v>comma</v>
      </c>
      <c r="K346" s="5" t="s">
        <v>38</v>
      </c>
      <c r="L346" s="5" t="str">
        <f>INDEX('Brown-Universal mapping'!$B:$B,MATCH(I346,'Brown-Universal mapping'!$A:$A,0))</f>
        <v>.</v>
      </c>
      <c r="M346" s="5">
        <f t="shared" si="55"/>
        <v>1</v>
      </c>
      <c r="N346" s="5">
        <f t="shared" si="56"/>
        <v>1</v>
      </c>
      <c r="P346" s="12" t="s">
        <v>62</v>
      </c>
      <c r="Q346" s="7" t="s">
        <v>62</v>
      </c>
      <c r="R346" s="7" t="str">
        <f>INDEX('Brown tagset'!$B:$B,MATCH(IF(ISERROR(FIND("-",Q346)),IF(ISERROR(FIND("+",Q346)),Q346,LEFT(Q346,FIND("+",Q346)-1)),LEFT(Q346,FIND("-",Q346)-1)),'Brown tagset'!$A:$A,0))</f>
        <v>comma</v>
      </c>
      <c r="S346" s="7"/>
      <c r="T346" s="7" t="str">
        <f>INDEX('Brown-Universal mapping'!$B:$B,MATCH(Q346,'Brown-Universal mapping'!$A:$A,0))</f>
        <v>.</v>
      </c>
      <c r="U346" s="7">
        <f t="shared" si="57"/>
        <v>1</v>
      </c>
      <c r="V346" s="7">
        <f t="shared" si="58"/>
        <v>1</v>
      </c>
      <c r="X346" s="12" t="s">
        <v>62</v>
      </c>
      <c r="Y346" s="7" t="s">
        <v>62</v>
      </c>
      <c r="Z346" s="7" t="str">
        <f>INDEX('Brown tagset'!$B:$B,MATCH(IF(ISERROR(FIND("-",Y346)),IF(ISERROR(FIND("+",Y346)),Y346,LEFT(Y346,FIND("+",Y346)-1)),LEFT(Y346,FIND("-",Y346)-1)),'Brown tagset'!$A:$A,0))</f>
        <v>comma</v>
      </c>
      <c r="AA346" s="7"/>
      <c r="AB346" s="7" t="str">
        <f>INDEX('Brown-Universal mapping'!$B:$B,MATCH(Y346,'Brown-Universal mapping'!$A:$A,0))</f>
        <v>.</v>
      </c>
      <c r="AC346" s="7">
        <f t="shared" si="61"/>
        <v>1</v>
      </c>
      <c r="AD346" s="7">
        <f t="shared" si="62"/>
        <v>1</v>
      </c>
      <c r="AF346" s="9" t="s">
        <v>62</v>
      </c>
      <c r="AG346" s="9" t="str">
        <f>INDEX('Brown tagset'!$B:$B,MATCH(IF(ISERROR(FIND("-",AF346)),IF(ISERROR(FIND("+",AF346)),AF346,LEFT(AF346,FIND("+",AF346)-1)),LEFT(AF346,FIND("-",AF346)-1)),'Brown tagset'!$A:$A,0))</f>
        <v>comma</v>
      </c>
      <c r="AH346" s="9" t="s">
        <v>38</v>
      </c>
      <c r="AI346" s="9" t="str">
        <f>INDEX('Brown-Universal mapping'!$B:$B,MATCH(AF346,'Brown-Universal mapping'!$A:$A,0))</f>
        <v>.</v>
      </c>
      <c r="AJ346" s="9">
        <f t="shared" si="59"/>
        <v>1</v>
      </c>
      <c r="AK346" s="9">
        <f t="shared" si="60"/>
        <v>1</v>
      </c>
      <c r="AM346" s="6">
        <f t="shared" si="63"/>
        <v>3</v>
      </c>
      <c r="AN346" s="6">
        <f t="shared" si="64"/>
        <v>3</v>
      </c>
      <c r="AP346" s="6" t="str">
        <f t="shared" si="65"/>
        <v>comma3</v>
      </c>
    </row>
    <row r="347" spans="1:42" x14ac:dyDescent="0.25">
      <c r="A347" s="4" t="s">
        <v>118</v>
      </c>
      <c r="D347" s="3" t="s">
        <v>119</v>
      </c>
      <c r="E347" s="3" t="str">
        <f>INDEX('Brown tagset'!$B:$B,MATCH(IF(ISERROR(FIND("-",D347)),IF(ISERROR(FIND("+",D347)),D347,LEFT(D347,FIND("+",D347)-1)),LEFT(D347,FIND("-",D347)-1)),'Brown tagset'!$A:$A,0))</f>
        <v>nominative wh- pronoun (who, which, that)</v>
      </c>
      <c r="F347" s="3"/>
      <c r="G347" s="3" t="str">
        <f>INDEX('Brown-Universal mapping'!$B:$B,MATCH(D347,'Brown-Universal mapping'!$A:$A,0))</f>
        <v>PRON</v>
      </c>
      <c r="I347" s="5" t="s">
        <v>119</v>
      </c>
      <c r="J347" s="5" t="str">
        <f>INDEX('Brown tagset'!$B:$B,MATCH(IF(ISERROR(FIND("-",I347)),IF(ISERROR(FIND("+",I347)),I347,LEFT(I347,FIND("+",I347)-1)),LEFT(I347,FIND("-",I347)-1)),'Brown tagset'!$A:$A,0))</f>
        <v>nominative wh- pronoun (who, which, that)</v>
      </c>
      <c r="K347" s="5" t="s">
        <v>2</v>
      </c>
      <c r="L347" s="5" t="str">
        <f>INDEX('Brown-Universal mapping'!$B:$B,MATCH(I347,'Brown-Universal mapping'!$A:$A,0))</f>
        <v>PRON</v>
      </c>
      <c r="M347" s="5">
        <f t="shared" si="55"/>
        <v>1</v>
      </c>
      <c r="N347" s="5">
        <f t="shared" si="56"/>
        <v>1</v>
      </c>
      <c r="P347" s="12" t="s">
        <v>118</v>
      </c>
      <c r="Q347" s="7" t="s">
        <v>317</v>
      </c>
      <c r="R347" s="7" t="str">
        <f>INDEX('Brown tagset'!$B:$B,MATCH(IF(ISERROR(FIND("-",Q347)),IF(ISERROR(FIND("+",Q347)),Q347,LEFT(Q347,FIND("+",Q347)-1)),LEFT(Q347,FIND("-",Q347)-1)),'Brown tagset'!$A:$A,0))</f>
        <v>nominative wh- pronoun (who, which, that)</v>
      </c>
      <c r="S347" s="7"/>
      <c r="T347" s="7" t="str">
        <f>INDEX('Brown-Universal mapping'!$B:$B,MATCH(Q347,'Brown-Universal mapping'!$A:$A,0))</f>
        <v>PRON</v>
      </c>
      <c r="U347" s="7">
        <f t="shared" si="57"/>
        <v>1</v>
      </c>
      <c r="V347" s="7">
        <f t="shared" si="58"/>
        <v>1</v>
      </c>
      <c r="X347" s="12" t="s">
        <v>118</v>
      </c>
      <c r="Y347" s="7" t="s">
        <v>317</v>
      </c>
      <c r="Z347" s="7" t="str">
        <f>INDEX('Brown tagset'!$B:$B,MATCH(IF(ISERROR(FIND("-",Y347)),IF(ISERROR(FIND("+",Y347)),Y347,LEFT(Y347,FIND("+",Y347)-1)),LEFT(Y347,FIND("-",Y347)-1)),'Brown tagset'!$A:$A,0))</f>
        <v>nominative wh- pronoun (who, which, that)</v>
      </c>
      <c r="AA347" s="7"/>
      <c r="AB347" s="7" t="str">
        <f>INDEX('Brown-Universal mapping'!$B:$B,MATCH(Y347,'Brown-Universal mapping'!$A:$A,0))</f>
        <v>PRON</v>
      </c>
      <c r="AC347" s="7">
        <f t="shared" si="61"/>
        <v>1</v>
      </c>
      <c r="AD347" s="7">
        <f t="shared" si="62"/>
        <v>1</v>
      </c>
      <c r="AF347" s="9" t="s">
        <v>119</v>
      </c>
      <c r="AG347" s="9" t="str">
        <f>INDEX('Brown tagset'!$B:$B,MATCH(IF(ISERROR(FIND("-",AF347)),IF(ISERROR(FIND("+",AF347)),AF347,LEFT(AF347,FIND("+",AF347)-1)),LEFT(AF347,FIND("-",AF347)-1)),'Brown tagset'!$A:$A,0))</f>
        <v>nominative wh- pronoun (who, which, that)</v>
      </c>
      <c r="AH347" s="9" t="s">
        <v>2</v>
      </c>
      <c r="AI347" s="9" t="str">
        <f>INDEX('Brown-Universal mapping'!$B:$B,MATCH(AF347,'Brown-Universal mapping'!$A:$A,0))</f>
        <v>PRON</v>
      </c>
      <c r="AJ347" s="9">
        <f t="shared" si="59"/>
        <v>1</v>
      </c>
      <c r="AK347" s="9">
        <f t="shared" si="60"/>
        <v>1</v>
      </c>
      <c r="AM347" s="6">
        <f t="shared" si="63"/>
        <v>3</v>
      </c>
      <c r="AN347" s="6">
        <f t="shared" si="64"/>
        <v>3</v>
      </c>
      <c r="AP347" s="6" t="str">
        <f t="shared" si="65"/>
        <v>nominative wh- pronoun (who, which, that)3</v>
      </c>
    </row>
    <row r="348" spans="1:42" x14ac:dyDescent="0.25">
      <c r="A348" s="4" t="s">
        <v>276</v>
      </c>
      <c r="C348" s="4">
        <v>1</v>
      </c>
      <c r="D348" s="3" t="s">
        <v>4</v>
      </c>
      <c r="E348" s="3" t="str">
        <f>INDEX('Brown tagset'!$B:$B,MATCH(IF(ISERROR(FIND("-",D348)),IF(ISERROR(FIND("+",D348)),D348,LEFT(D348,FIND("+",D348)-1)),LEFT(D348,FIND("-",D348)-1)),'Brown tagset'!$A:$A,0))</f>
        <v>adverb</v>
      </c>
      <c r="F348" s="3"/>
      <c r="G348" s="3" t="str">
        <f>INDEX('Brown-Universal mapping'!$B:$B,MATCH(D348,'Brown-Universal mapping'!$A:$A,0))</f>
        <v>ADV</v>
      </c>
      <c r="I348" s="5" t="s">
        <v>4</v>
      </c>
      <c r="J348" s="5" t="str">
        <f>INDEX('Brown tagset'!$B:$B,MATCH(IF(ISERROR(FIND("-",I348)),IF(ISERROR(FIND("+",I348)),I348,LEFT(I348,FIND("+",I348)-1)),LEFT(I348,FIND("-",I348)-1)),'Brown tagset'!$A:$A,0))</f>
        <v>adverb</v>
      </c>
      <c r="K348" s="5" t="s">
        <v>5</v>
      </c>
      <c r="L348" s="5" t="str">
        <f>INDEX('Brown-Universal mapping'!$B:$B,MATCH(I348,'Brown-Universal mapping'!$A:$A,0))</f>
        <v>ADV</v>
      </c>
      <c r="M348" s="5">
        <f t="shared" si="55"/>
        <v>1</v>
      </c>
      <c r="N348" s="5">
        <f t="shared" si="56"/>
        <v>1</v>
      </c>
      <c r="P348" s="12" t="s">
        <v>276</v>
      </c>
      <c r="Q348" s="7" t="s">
        <v>296</v>
      </c>
      <c r="R348" s="7" t="str">
        <f>INDEX('Brown tagset'!$B:$B,MATCH(IF(ISERROR(FIND("-",Q348)),IF(ISERROR(FIND("+",Q348)),Q348,LEFT(Q348,FIND("+",Q348)-1)),LEFT(Q348,FIND("-",Q348)-1)),'Brown tagset'!$A:$A,0))</f>
        <v>verb, base form</v>
      </c>
      <c r="S348" s="7"/>
      <c r="T348" s="7" t="str">
        <f>INDEX('Brown-Universal mapping'!$B:$B,MATCH(Q348,'Brown-Universal mapping'!$A:$A,0))</f>
        <v>VERB</v>
      </c>
      <c r="U348" s="7">
        <f t="shared" si="57"/>
        <v>0</v>
      </c>
      <c r="V348" s="7">
        <f t="shared" si="58"/>
        <v>0</v>
      </c>
      <c r="X348" s="12" t="s">
        <v>276</v>
      </c>
      <c r="Y348" s="7" t="s">
        <v>288</v>
      </c>
      <c r="Z348" s="7" t="str">
        <f>INDEX('Brown tagset'!$B:$B,MATCH(IF(ISERROR(FIND("-",Y348)),IF(ISERROR(FIND("+",Y348)),Y348,LEFT(Y348,FIND("+",Y348)-1)),LEFT(Y348,FIND("-",Y348)-1)),'Brown tagset'!$A:$A,0))</f>
        <v>adverb</v>
      </c>
      <c r="AA348" s="7"/>
      <c r="AB348" s="7" t="str">
        <f>INDEX('Brown-Universal mapping'!$B:$B,MATCH(Y348,'Brown-Universal mapping'!$A:$A,0))</f>
        <v>ADV</v>
      </c>
      <c r="AC348" s="7">
        <f t="shared" si="61"/>
        <v>1</v>
      </c>
      <c r="AD348" s="7">
        <f t="shared" si="62"/>
        <v>1</v>
      </c>
      <c r="AF348" s="9" t="s">
        <v>4</v>
      </c>
      <c r="AG348" s="9" t="str">
        <f>INDEX('Brown tagset'!$B:$B,MATCH(IF(ISERROR(FIND("-",AF348)),IF(ISERROR(FIND("+",AF348)),AF348,LEFT(AF348,FIND("+",AF348)-1)),LEFT(AF348,FIND("-",AF348)-1)),'Brown tagset'!$A:$A,0))</f>
        <v>adverb</v>
      </c>
      <c r="AH348" s="9" t="s">
        <v>5</v>
      </c>
      <c r="AI348" s="9" t="str">
        <f>INDEX('Brown-Universal mapping'!$B:$B,MATCH(AF348,'Brown-Universal mapping'!$A:$A,0))</f>
        <v>ADV</v>
      </c>
      <c r="AJ348" s="9">
        <f t="shared" si="59"/>
        <v>1</v>
      </c>
      <c r="AK348" s="9">
        <f t="shared" si="60"/>
        <v>1</v>
      </c>
      <c r="AM348" s="6">
        <f t="shared" si="63"/>
        <v>3</v>
      </c>
      <c r="AN348" s="6">
        <f t="shared" si="64"/>
        <v>3</v>
      </c>
      <c r="AP348" s="6" t="str">
        <f t="shared" si="65"/>
        <v>adverb3</v>
      </c>
    </row>
    <row r="349" spans="1:42" x14ac:dyDescent="0.25">
      <c r="A349" s="4" t="s">
        <v>277</v>
      </c>
      <c r="D349" s="3" t="s">
        <v>174</v>
      </c>
      <c r="E349" s="3" t="str">
        <f>INDEX('Brown tagset'!$B:$B,MATCH(IF(ISERROR(FIND("-",D349)),IF(ISERROR(FIND("+",D349)),D349,LEFT(D349,FIND("+",D349)-1)),LEFT(D349,FIND("-",D349)-1)),'Brown tagset'!$A:$A,0))</f>
        <v>verb, past tense</v>
      </c>
      <c r="F349" s="3"/>
      <c r="G349" s="3" t="str">
        <f>INDEX('Brown-Universal mapping'!$B:$B,MATCH(D349,'Brown-Universal mapping'!$A:$A,0))</f>
        <v>VERB</v>
      </c>
      <c r="I349" s="5" t="s">
        <v>174</v>
      </c>
      <c r="J349" s="5" t="str">
        <f>INDEX('Brown tagset'!$B:$B,MATCH(IF(ISERROR(FIND("-",I349)),IF(ISERROR(FIND("+",I349)),I349,LEFT(I349,FIND("+",I349)-1)),LEFT(I349,FIND("-",I349)-1)),'Brown tagset'!$A:$A,0))</f>
        <v>verb, past tense</v>
      </c>
      <c r="K349" s="5" t="s">
        <v>10</v>
      </c>
      <c r="L349" s="5" t="str">
        <f>INDEX('Brown-Universal mapping'!$B:$B,MATCH(I349,'Brown-Universal mapping'!$A:$A,0))</f>
        <v>VERB</v>
      </c>
      <c r="M349" s="5">
        <f t="shared" si="55"/>
        <v>1</v>
      </c>
      <c r="N349" s="5">
        <f t="shared" si="56"/>
        <v>1</v>
      </c>
      <c r="P349" s="12" t="s">
        <v>277</v>
      </c>
      <c r="Q349" s="7" t="s">
        <v>312</v>
      </c>
      <c r="R349" s="7" t="str">
        <f>INDEX('Brown tagset'!$B:$B,MATCH(IF(ISERROR(FIND("-",Q349)),IF(ISERROR(FIND("+",Q349)),Q349,LEFT(Q349,FIND("+",Q349)-1)),LEFT(Q349,FIND("-",Q349)-1)),'Brown tagset'!$A:$A,0))</f>
        <v>verb, past tense</v>
      </c>
      <c r="S349" s="7"/>
      <c r="T349" s="7" t="str">
        <f>INDEX('Brown-Universal mapping'!$B:$B,MATCH(Q349,'Brown-Universal mapping'!$A:$A,0))</f>
        <v>VERB</v>
      </c>
      <c r="U349" s="7">
        <f t="shared" si="57"/>
        <v>1</v>
      </c>
      <c r="V349" s="7">
        <f t="shared" si="58"/>
        <v>1</v>
      </c>
      <c r="X349" s="12" t="s">
        <v>277</v>
      </c>
      <c r="Y349" s="7" t="s">
        <v>312</v>
      </c>
      <c r="Z349" s="7" t="str">
        <f>INDEX('Brown tagset'!$B:$B,MATCH(IF(ISERROR(FIND("-",Y349)),IF(ISERROR(FIND("+",Y349)),Y349,LEFT(Y349,FIND("+",Y349)-1)),LEFT(Y349,FIND("-",Y349)-1)),'Brown tagset'!$A:$A,0))</f>
        <v>verb, past tense</v>
      </c>
      <c r="AA349" s="7"/>
      <c r="AB349" s="7" t="str">
        <f>INDEX('Brown-Universal mapping'!$B:$B,MATCH(Y349,'Brown-Universal mapping'!$A:$A,0))</f>
        <v>VERB</v>
      </c>
      <c r="AC349" s="7">
        <f t="shared" si="61"/>
        <v>1</v>
      </c>
      <c r="AD349" s="7">
        <f t="shared" si="62"/>
        <v>1</v>
      </c>
      <c r="AF349" s="9" t="s">
        <v>174</v>
      </c>
      <c r="AG349" s="9" t="str">
        <f>INDEX('Brown tagset'!$B:$B,MATCH(IF(ISERROR(FIND("-",AF349)),IF(ISERROR(FIND("+",AF349)),AF349,LEFT(AF349,FIND("+",AF349)-1)),LEFT(AF349,FIND("-",AF349)-1)),'Brown tagset'!$A:$A,0))</f>
        <v>verb, past tense</v>
      </c>
      <c r="AH349" s="9" t="s">
        <v>10</v>
      </c>
      <c r="AI349" s="9" t="str">
        <f>INDEX('Brown-Universal mapping'!$B:$B,MATCH(AF349,'Brown-Universal mapping'!$A:$A,0))</f>
        <v>VERB</v>
      </c>
      <c r="AJ349" s="9">
        <f t="shared" si="59"/>
        <v>1</v>
      </c>
      <c r="AK349" s="9">
        <f t="shared" si="60"/>
        <v>1</v>
      </c>
      <c r="AM349" s="6">
        <f t="shared" si="63"/>
        <v>3</v>
      </c>
      <c r="AN349" s="6">
        <f t="shared" si="64"/>
        <v>3</v>
      </c>
      <c r="AP349" s="6" t="str">
        <f t="shared" si="65"/>
        <v>verb, past tense3</v>
      </c>
    </row>
    <row r="350" spans="1:42" x14ac:dyDescent="0.25">
      <c r="A350" s="4" t="s">
        <v>90</v>
      </c>
      <c r="D350" s="3" t="s">
        <v>7</v>
      </c>
      <c r="E350" s="3" t="str">
        <f>INDEX('Brown tagset'!$B:$B,MATCH(IF(ISERROR(FIND("-",D350)),IF(ISERROR(FIND("+",D350)),D350,LEFT(D350,FIND("+",D350)-1)),LEFT(D350,FIND("-",D350)-1)),'Brown tagset'!$A:$A,0))</f>
        <v>article (a, the, no)</v>
      </c>
      <c r="F350" s="3"/>
      <c r="G350" s="3" t="str">
        <f>INDEX('Brown-Universal mapping'!$B:$B,MATCH(D350,'Brown-Universal mapping'!$A:$A,0))</f>
        <v>DET</v>
      </c>
      <c r="I350" s="5" t="s">
        <v>7</v>
      </c>
      <c r="J350" s="5" t="str">
        <f>INDEX('Brown tagset'!$B:$B,MATCH(IF(ISERROR(FIND("-",I350)),IF(ISERROR(FIND("+",I350)),I350,LEFT(I350,FIND("+",I350)-1)),LEFT(I350,FIND("-",I350)-1)),'Brown tagset'!$A:$A,0))</f>
        <v>article (a, the, no)</v>
      </c>
      <c r="K350" s="5" t="s">
        <v>2</v>
      </c>
      <c r="L350" s="5" t="str">
        <f>INDEX('Brown-Universal mapping'!$B:$B,MATCH(I350,'Brown-Universal mapping'!$A:$A,0))</f>
        <v>DET</v>
      </c>
      <c r="M350" s="5">
        <f t="shared" si="55"/>
        <v>1</v>
      </c>
      <c r="N350" s="5">
        <f t="shared" si="56"/>
        <v>1</v>
      </c>
      <c r="P350" s="12" t="s">
        <v>90</v>
      </c>
      <c r="Q350" s="7" t="s">
        <v>89</v>
      </c>
      <c r="R350" s="7" t="str">
        <f>INDEX('Brown tagset'!$B:$B,MATCH(IF(ISERROR(FIND("-",Q350)),IF(ISERROR(FIND("+",Q350)),Q350,LEFT(Q350,FIND("+",Q350)-1)),LEFT(Q350,FIND("-",Q350)-1)),'Brown tagset'!$A:$A,0))</f>
        <v>article (a, the, no)</v>
      </c>
      <c r="S350" s="7"/>
      <c r="T350" s="7" t="str">
        <f>INDEX('Brown-Universal mapping'!$B:$B,MATCH(Q350,'Brown-Universal mapping'!$A:$A,0))</f>
        <v>DET</v>
      </c>
      <c r="U350" s="7">
        <f t="shared" si="57"/>
        <v>1</v>
      </c>
      <c r="V350" s="7">
        <f t="shared" si="58"/>
        <v>1</v>
      </c>
      <c r="X350" s="12" t="s">
        <v>90</v>
      </c>
      <c r="Y350" s="7" t="s">
        <v>89</v>
      </c>
      <c r="Z350" s="7" t="str">
        <f>INDEX('Brown tagset'!$B:$B,MATCH(IF(ISERROR(FIND("-",Y350)),IF(ISERROR(FIND("+",Y350)),Y350,LEFT(Y350,FIND("+",Y350)-1)),LEFT(Y350,FIND("-",Y350)-1)),'Brown tagset'!$A:$A,0))</f>
        <v>article (a, the, no)</v>
      </c>
      <c r="AA350" s="7"/>
      <c r="AB350" s="7" t="str">
        <f>INDEX('Brown-Universal mapping'!$B:$B,MATCH(Y350,'Brown-Universal mapping'!$A:$A,0))</f>
        <v>DET</v>
      </c>
      <c r="AC350" s="7">
        <f t="shared" si="61"/>
        <v>1</v>
      </c>
      <c r="AD350" s="7">
        <f t="shared" si="62"/>
        <v>1</v>
      </c>
      <c r="AF350" s="9" t="s">
        <v>7</v>
      </c>
      <c r="AG350" s="9" t="str">
        <f>INDEX('Brown tagset'!$B:$B,MATCH(IF(ISERROR(FIND("-",AF350)),IF(ISERROR(FIND("+",AF350)),AF350,LEFT(AF350,FIND("+",AF350)-1)),LEFT(AF350,FIND("-",AF350)-1)),'Brown tagset'!$A:$A,0))</f>
        <v>article (a, the, no)</v>
      </c>
      <c r="AH350" s="9" t="s">
        <v>2</v>
      </c>
      <c r="AI350" s="9" t="str">
        <f>INDEX('Brown-Universal mapping'!$B:$B,MATCH(AF350,'Brown-Universal mapping'!$A:$A,0))</f>
        <v>DET</v>
      </c>
      <c r="AJ350" s="9">
        <f t="shared" si="59"/>
        <v>1</v>
      </c>
      <c r="AK350" s="9">
        <f t="shared" si="60"/>
        <v>1</v>
      </c>
      <c r="AM350" s="6">
        <f t="shared" si="63"/>
        <v>3</v>
      </c>
      <c r="AN350" s="6">
        <f t="shared" si="64"/>
        <v>3</v>
      </c>
      <c r="AP350" s="6" t="str">
        <f t="shared" si="65"/>
        <v>article (a, the, no)3</v>
      </c>
    </row>
    <row r="351" spans="1:42" x14ac:dyDescent="0.25">
      <c r="A351" s="4" t="s">
        <v>37</v>
      </c>
      <c r="D351" s="3" t="s">
        <v>37</v>
      </c>
      <c r="E351" s="3" t="str">
        <f>INDEX('Brown tagset'!$B:$B,MATCH(IF(ISERROR(FIND("-",D351)),IF(ISERROR(FIND("+",D351)),D351,LEFT(D351,FIND("+",D351)-1)),LEFT(D351,FIND("-",D351)-1)),'Brown tagset'!$A:$A,0))</f>
        <v>end quotation</v>
      </c>
      <c r="F351" s="3"/>
      <c r="G351" s="3" t="str">
        <f>INDEX('Brown-Universal mapping'!$B:$B,MATCH(D351,'Brown-Universal mapping'!$A:$A,0))</f>
        <v>.</v>
      </c>
      <c r="I351" s="5" t="s">
        <v>37</v>
      </c>
      <c r="J351" s="5" t="str">
        <f>INDEX('Brown tagset'!$B:$B,MATCH(IF(ISERROR(FIND("-",I351)),IF(ISERROR(FIND("+",I351)),I351,LEFT(I351,FIND("+",I351)-1)),LEFT(I351,FIND("-",I351)-1)),'Brown tagset'!$A:$A,0))</f>
        <v>end quotation</v>
      </c>
      <c r="K351" s="5" t="s">
        <v>38</v>
      </c>
      <c r="L351" s="5" t="str">
        <f>INDEX('Brown-Universal mapping'!$B:$B,MATCH(I351,'Brown-Universal mapping'!$A:$A,0))</f>
        <v>.</v>
      </c>
      <c r="M351" s="5">
        <f t="shared" si="55"/>
        <v>1</v>
      </c>
      <c r="N351" s="5">
        <f t="shared" si="56"/>
        <v>1</v>
      </c>
      <c r="P351" s="12" t="s">
        <v>37</v>
      </c>
      <c r="Q351" s="7" t="s">
        <v>37</v>
      </c>
      <c r="R351" s="7" t="str">
        <f>INDEX('Brown tagset'!$B:$B,MATCH(IF(ISERROR(FIND("-",Q351)),IF(ISERROR(FIND("+",Q351)),Q351,LEFT(Q351,FIND("+",Q351)-1)),LEFT(Q351,FIND("-",Q351)-1)),'Brown tagset'!$A:$A,0))</f>
        <v>end quotation</v>
      </c>
      <c r="S351" s="7"/>
      <c r="T351" s="7" t="str">
        <f>INDEX('Brown-Universal mapping'!$B:$B,MATCH(Q351,'Brown-Universal mapping'!$A:$A,0))</f>
        <v>.</v>
      </c>
      <c r="U351" s="7">
        <f t="shared" si="57"/>
        <v>1</v>
      </c>
      <c r="V351" s="7">
        <f t="shared" si="58"/>
        <v>1</v>
      </c>
      <c r="X351" s="12" t="s">
        <v>37</v>
      </c>
      <c r="Y351" s="7" t="s">
        <v>37</v>
      </c>
      <c r="Z351" s="7" t="str">
        <f>INDEX('Brown tagset'!$B:$B,MATCH(IF(ISERROR(FIND("-",Y351)),IF(ISERROR(FIND("+",Y351)),Y351,LEFT(Y351,FIND("+",Y351)-1)),LEFT(Y351,FIND("-",Y351)-1)),'Brown tagset'!$A:$A,0))</f>
        <v>end quotation</v>
      </c>
      <c r="AA351" s="7"/>
      <c r="AB351" s="7" t="str">
        <f>INDEX('Brown-Universal mapping'!$B:$B,MATCH(Y351,'Brown-Universal mapping'!$A:$A,0))</f>
        <v>.</v>
      </c>
      <c r="AC351" s="7">
        <f t="shared" si="61"/>
        <v>1</v>
      </c>
      <c r="AD351" s="7">
        <f t="shared" si="62"/>
        <v>1</v>
      </c>
      <c r="AF351" s="9" t="s">
        <v>37</v>
      </c>
      <c r="AG351" s="9" t="str">
        <f>INDEX('Brown tagset'!$B:$B,MATCH(IF(ISERROR(FIND("-",AF351)),IF(ISERROR(FIND("+",AF351)),AF351,LEFT(AF351,FIND("+",AF351)-1)),LEFT(AF351,FIND("-",AF351)-1)),'Brown tagset'!$A:$A,0))</f>
        <v>end quotation</v>
      </c>
      <c r="AH351" s="9" t="s">
        <v>38</v>
      </c>
      <c r="AI351" s="9" t="str">
        <f>INDEX('Brown-Universal mapping'!$B:$B,MATCH(AF351,'Brown-Universal mapping'!$A:$A,0))</f>
        <v>.</v>
      </c>
      <c r="AJ351" s="9">
        <f t="shared" si="59"/>
        <v>1</v>
      </c>
      <c r="AK351" s="9">
        <f t="shared" si="60"/>
        <v>1</v>
      </c>
      <c r="AM351" s="6">
        <f t="shared" si="63"/>
        <v>3</v>
      </c>
      <c r="AN351" s="6">
        <f t="shared" si="64"/>
        <v>3</v>
      </c>
      <c r="AP351" s="6" t="str">
        <f t="shared" si="65"/>
        <v>end quotation3</v>
      </c>
    </row>
    <row r="352" spans="1:42" x14ac:dyDescent="0.25">
      <c r="A352" s="4" t="s">
        <v>278</v>
      </c>
      <c r="B352" s="4">
        <v>1</v>
      </c>
      <c r="C352" s="4">
        <v>1</v>
      </c>
      <c r="D352" s="3" t="s">
        <v>279</v>
      </c>
      <c r="E352" s="3" t="str">
        <f>INDEX('Brown tagset'!$B:$B,MATCH(IF(ISERROR(FIND("-",D352)),IF(ISERROR(FIND("+",D352)),D352,LEFT(D352,FIND("+",D352)-1)),LEFT(D352,FIND("-",D352)-1)),'Brown tagset'!$A:$A,0))</f>
        <v>qualifier (very, fairly)</v>
      </c>
      <c r="F352" s="3"/>
      <c r="G352" s="3" t="str">
        <f>INDEX('Brown-Universal mapping'!$B:$B,MATCH(D352,'Brown-Universal mapping'!$A:$A,0))</f>
        <v>ADV</v>
      </c>
      <c r="I352" s="5" t="s">
        <v>1</v>
      </c>
      <c r="J352" s="5" t="str">
        <f>INDEX('Brown tagset'!$B:$B,MATCH(IF(ISERROR(FIND("-",I352)),IF(ISERROR(FIND("+",I352)),I352,LEFT(I352,FIND("+",I352)-1)),LEFT(I352,FIND("-",I352)-1)),'Brown tagset'!$A:$A,0))</f>
        <v>qualifier (very, fairly)</v>
      </c>
      <c r="K352" s="5" t="s">
        <v>2</v>
      </c>
      <c r="L352" s="5" t="str">
        <f>INDEX('Brown-Universal mapping'!$B:$B,MATCH(I352,'Brown-Universal mapping'!$A:$A,0))</f>
        <v>ADV</v>
      </c>
      <c r="M352" s="5">
        <f t="shared" si="55"/>
        <v>0</v>
      </c>
      <c r="N352" s="5">
        <f t="shared" si="56"/>
        <v>1</v>
      </c>
      <c r="P352" s="12" t="s">
        <v>278</v>
      </c>
      <c r="Q352" s="7" t="s">
        <v>332</v>
      </c>
      <c r="R352" s="7" t="str">
        <f>INDEX('Brown tagset'!$B:$B,MATCH(IF(ISERROR(FIND("-",Q352)),IF(ISERROR(FIND("+",Q352)),Q352,LEFT(Q352,FIND("+",Q352)-1)),LEFT(Q352,FIND("-",Q352)-1)),'Brown tagset'!$A:$A,0))</f>
        <v>post-determiner (many, several, next)</v>
      </c>
      <c r="S352" s="7"/>
      <c r="T352" s="7" t="str">
        <f>INDEX('Brown-Universal mapping'!$B:$B,MATCH(Q352,'Brown-Universal mapping'!$A:$A,0))</f>
        <v>ADJ</v>
      </c>
      <c r="U352" s="7">
        <f t="shared" si="57"/>
        <v>0</v>
      </c>
      <c r="V352" s="7">
        <f t="shared" si="58"/>
        <v>0</v>
      </c>
      <c r="X352" s="12" t="s">
        <v>278</v>
      </c>
      <c r="Y352" s="7" t="s">
        <v>332</v>
      </c>
      <c r="Z352" s="7" t="str">
        <f>INDEX('Brown tagset'!$B:$B,MATCH(IF(ISERROR(FIND("-",Y352)),IF(ISERROR(FIND("+",Y352)),Y352,LEFT(Y352,FIND("+",Y352)-1)),LEFT(Y352,FIND("-",Y352)-1)),'Brown tagset'!$A:$A,0))</f>
        <v>post-determiner (many, several, next)</v>
      </c>
      <c r="AA352" s="7"/>
      <c r="AB352" s="7" t="str">
        <f>INDEX('Brown-Universal mapping'!$B:$B,MATCH(Y352,'Brown-Universal mapping'!$A:$A,0))</f>
        <v>ADJ</v>
      </c>
      <c r="AC352" s="7">
        <f t="shared" si="61"/>
        <v>0</v>
      </c>
      <c r="AD352" s="7">
        <f t="shared" si="62"/>
        <v>0</v>
      </c>
      <c r="AF352" s="9" t="s">
        <v>279</v>
      </c>
      <c r="AG352" s="9" t="str">
        <f>INDEX('Brown tagset'!$B:$B,MATCH(IF(ISERROR(FIND("-",AF352)),IF(ISERROR(FIND("+",AF352)),AF352,LEFT(AF352,FIND("+",AF352)-1)),LEFT(AF352,FIND("-",AF352)-1)),'Brown tagset'!$A:$A,0))</f>
        <v>qualifier (very, fairly)</v>
      </c>
      <c r="AH352" s="9" t="s">
        <v>2</v>
      </c>
      <c r="AI352" s="9" t="str">
        <f>INDEX('Brown-Universal mapping'!$B:$B,MATCH(AF352,'Brown-Universal mapping'!$A:$A,0))</f>
        <v>ADV</v>
      </c>
      <c r="AJ352" s="9">
        <f t="shared" si="59"/>
        <v>1</v>
      </c>
      <c r="AK352" s="9">
        <f t="shared" si="60"/>
        <v>1</v>
      </c>
      <c r="AM352" s="6">
        <f t="shared" si="63"/>
        <v>1</v>
      </c>
      <c r="AN352" s="6">
        <f t="shared" si="64"/>
        <v>2</v>
      </c>
      <c r="AP352" s="6" t="str">
        <f t="shared" si="65"/>
        <v>qualifier (very, fairly)1</v>
      </c>
    </row>
    <row r="353" spans="1:42" x14ac:dyDescent="0.25">
      <c r="A353" s="26" t="s">
        <v>280</v>
      </c>
      <c r="B353" s="26"/>
      <c r="D353" s="3" t="s">
        <v>150</v>
      </c>
      <c r="E353" s="3" t="str">
        <f>INDEX('Brown tagset'!$B:$B,MATCH(IF(ISERROR(FIND("-",D353)),IF(ISERROR(FIND("+",D353)),D353,LEFT(D353,FIND("+",D353)-1)),LEFT(D353,FIND("-",D353)-1)),'Brown tagset'!$A:$A,0))</f>
        <v>adjective</v>
      </c>
      <c r="F353" s="3"/>
      <c r="G353" s="3" t="str">
        <f>INDEX('Brown-Universal mapping'!$B:$B,MATCH(D353,'Brown-Universal mapping'!$A:$A,0))</f>
        <v>ADJ</v>
      </c>
      <c r="I353" s="5" t="s">
        <v>45</v>
      </c>
      <c r="J353" s="5" t="str">
        <f>INDEX('Brown tagset'!$B:$B,MATCH(IF(ISERROR(FIND("-",I353)),IF(ISERROR(FIND("+",I353)),I353,LEFT(I353,FIND("+",I353)-1)),LEFT(I353,FIND("-",I353)-1)),'Brown tagset'!$A:$A,0))</f>
        <v>adjective</v>
      </c>
      <c r="K353" s="5" t="s">
        <v>46</v>
      </c>
      <c r="L353" s="5" t="str">
        <f>INDEX('Brown-Universal mapping'!$B:$B,MATCH(I353,'Brown-Universal mapping'!$A:$A,0))</f>
        <v>ADJ</v>
      </c>
      <c r="M353" s="5">
        <f t="shared" si="55"/>
        <v>0</v>
      </c>
      <c r="N353" s="5">
        <f t="shared" si="56"/>
        <v>1</v>
      </c>
      <c r="P353" s="12" t="s">
        <v>280</v>
      </c>
      <c r="Q353" s="7" t="s">
        <v>299</v>
      </c>
      <c r="R353" s="7" t="str">
        <f>INDEX('Brown tagset'!$B:$B,MATCH(IF(ISERROR(FIND("-",Q353)),IF(ISERROR(FIND("+",Q353)),Q353,LEFT(Q353,FIND("+",Q353)-1)),LEFT(Q353,FIND("-",Q353)-1)),'Brown tagset'!$A:$A,0))</f>
        <v>adjective</v>
      </c>
      <c r="S353" s="7"/>
      <c r="T353" s="7" t="str">
        <f>INDEX('Brown-Universal mapping'!$B:$B,MATCH(Q353,'Brown-Universal mapping'!$A:$A,0))</f>
        <v>ADJ</v>
      </c>
      <c r="U353" s="7">
        <f t="shared" si="57"/>
        <v>0</v>
      </c>
      <c r="V353" s="7">
        <f t="shared" si="58"/>
        <v>1</v>
      </c>
      <c r="X353" s="12" t="s">
        <v>280</v>
      </c>
      <c r="Y353" s="7" t="s">
        <v>322</v>
      </c>
      <c r="Z353" s="7" t="str">
        <f>INDEX('Brown tagset'!$B:$B,MATCH(IF(ISERROR(FIND("-",Y353)),IF(ISERROR(FIND("+",Y353)),Y353,LEFT(Y353,FIND("+",Y353)-1)),LEFT(Y353,FIND("-",Y353)-1)),'Brown tagset'!$A:$A,0))</f>
        <v>adjective</v>
      </c>
      <c r="AA353" s="7"/>
      <c r="AB353" s="7" t="str">
        <f>INDEX('Brown-Universal mapping'!$B:$B,MATCH(Y353,'Brown-Universal mapping'!$A:$A,0))</f>
        <v>ADJ</v>
      </c>
      <c r="AC353" s="7">
        <f t="shared" si="61"/>
        <v>1</v>
      </c>
      <c r="AD353" s="7">
        <f t="shared" si="62"/>
        <v>1</v>
      </c>
      <c r="AF353" s="9" t="s">
        <v>340</v>
      </c>
      <c r="AG353" s="9" t="str">
        <f>INDEX('Brown tagset'!$B:$B,MATCH(IF(ISERROR(FIND("-",AF353)),IF(ISERROR(FIND("+",AF353)),AF353,LEFT(AF353,FIND("+",AF353)-1)),LEFT(AF353,FIND("-",AF353)-1)),'Brown tagset'!$A:$A,0))</f>
        <v>unknown</v>
      </c>
      <c r="AH353" s="9" t="s">
        <v>2</v>
      </c>
      <c r="AI353" s="9" t="str">
        <f>INDEX('Brown-Universal mapping'!$B:$B,MATCH(AF353,'Brown-Universal mapping'!$A:$A,0))</f>
        <v>Unknown</v>
      </c>
      <c r="AJ353" s="9">
        <f t="shared" si="59"/>
        <v>0</v>
      </c>
      <c r="AK353" s="9">
        <f t="shared" si="60"/>
        <v>0</v>
      </c>
      <c r="AM353" s="6">
        <f t="shared" si="63"/>
        <v>1</v>
      </c>
      <c r="AN353" s="6">
        <f t="shared" si="64"/>
        <v>2</v>
      </c>
      <c r="AP353" s="6" t="str">
        <f t="shared" si="65"/>
        <v>unknown1</v>
      </c>
    </row>
    <row r="354" spans="1:42" x14ac:dyDescent="0.25">
      <c r="A354" s="4" t="s">
        <v>281</v>
      </c>
      <c r="D354" s="3" t="s">
        <v>181</v>
      </c>
      <c r="E354" s="3" t="str">
        <f>INDEX('Brown tagset'!$B:$B,MATCH(IF(ISERROR(FIND("-",D354)),IF(ISERROR(FIND("+",D354)),D354,LEFT(D354,FIND("+",D354)-1)),LEFT(D354,FIND("-",D354)-1)),'Brown tagset'!$A:$A,0))</f>
        <v>singular or mass noun</v>
      </c>
      <c r="F354" s="3"/>
      <c r="G354" s="3" t="str">
        <f>INDEX('Brown-Universal mapping'!$B:$B,MATCH(D354,'Brown-Universal mapping'!$A:$A,0))</f>
        <v>NOUN</v>
      </c>
      <c r="I354" s="5" t="s">
        <v>181</v>
      </c>
      <c r="J354" s="5" t="str">
        <f>INDEX('Brown tagset'!$B:$B,MATCH(IF(ISERROR(FIND("-",I354)),IF(ISERROR(FIND("+",I354)),I354,LEFT(I354,FIND("+",I354)-1)),LEFT(I354,FIND("-",I354)-1)),'Brown tagset'!$A:$A,0))</f>
        <v>singular or mass noun</v>
      </c>
      <c r="K354" s="5" t="s">
        <v>2</v>
      </c>
      <c r="L354" s="5" t="str">
        <f>INDEX('Brown-Universal mapping'!$B:$B,MATCH(I354,'Brown-Universal mapping'!$A:$A,0))</f>
        <v>NOUN</v>
      </c>
      <c r="M354" s="5">
        <f t="shared" si="55"/>
        <v>1</v>
      </c>
      <c r="N354" s="5">
        <f t="shared" si="56"/>
        <v>1</v>
      </c>
      <c r="P354" s="12" t="s">
        <v>281</v>
      </c>
      <c r="Q354" s="7" t="s">
        <v>325</v>
      </c>
      <c r="R354" s="7" t="str">
        <f>INDEX('Brown tagset'!$B:$B,MATCH(IF(ISERROR(FIND("-",Q354)),IF(ISERROR(FIND("+",Q354)),Q354,LEFT(Q354,FIND("+",Q354)-1)),LEFT(Q354,FIND("-",Q354)-1)),'Brown tagset'!$A:$A,0))</f>
        <v>singular or mass noun</v>
      </c>
      <c r="S354" s="7"/>
      <c r="T354" s="7" t="str">
        <f>INDEX('Brown-Universal mapping'!$B:$B,MATCH(Q354,'Brown-Universal mapping'!$A:$A,0))</f>
        <v>NOUN</v>
      </c>
      <c r="U354" s="7">
        <f t="shared" si="57"/>
        <v>1</v>
      </c>
      <c r="V354" s="7">
        <f t="shared" si="58"/>
        <v>1</v>
      </c>
      <c r="X354" s="12" t="s">
        <v>281</v>
      </c>
      <c r="Y354" s="7" t="s">
        <v>325</v>
      </c>
      <c r="Z354" s="7" t="str">
        <f>INDEX('Brown tagset'!$B:$B,MATCH(IF(ISERROR(FIND("-",Y354)),IF(ISERROR(FIND("+",Y354)),Y354,LEFT(Y354,FIND("+",Y354)-1)),LEFT(Y354,FIND("-",Y354)-1)),'Brown tagset'!$A:$A,0))</f>
        <v>singular or mass noun</v>
      </c>
      <c r="AA354" s="7"/>
      <c r="AB354" s="7" t="str">
        <f>INDEX('Brown-Universal mapping'!$B:$B,MATCH(Y354,'Brown-Universal mapping'!$A:$A,0))</f>
        <v>NOUN</v>
      </c>
      <c r="AC354" s="7">
        <f t="shared" si="61"/>
        <v>1</v>
      </c>
      <c r="AD354" s="7">
        <f t="shared" si="62"/>
        <v>1</v>
      </c>
      <c r="AF354" s="9" t="s">
        <v>181</v>
      </c>
      <c r="AG354" s="9" t="str">
        <f>INDEX('Brown tagset'!$B:$B,MATCH(IF(ISERROR(FIND("-",AF354)),IF(ISERROR(FIND("+",AF354)),AF354,LEFT(AF354,FIND("+",AF354)-1)),LEFT(AF354,FIND("-",AF354)-1)),'Brown tagset'!$A:$A,0))</f>
        <v>singular or mass noun</v>
      </c>
      <c r="AH354" s="9" t="s">
        <v>2</v>
      </c>
      <c r="AI354" s="9" t="str">
        <f>INDEX('Brown-Universal mapping'!$B:$B,MATCH(AF354,'Brown-Universal mapping'!$A:$A,0))</f>
        <v>NOUN</v>
      </c>
      <c r="AJ354" s="9">
        <f t="shared" si="59"/>
        <v>1</v>
      </c>
      <c r="AK354" s="9">
        <f t="shared" si="60"/>
        <v>1</v>
      </c>
      <c r="AM354" s="6">
        <f t="shared" si="63"/>
        <v>3</v>
      </c>
      <c r="AN354" s="6">
        <f t="shared" si="64"/>
        <v>3</v>
      </c>
      <c r="AP354" s="6" t="str">
        <f t="shared" si="65"/>
        <v>singular or mass noun3</v>
      </c>
    </row>
    <row r="355" spans="1:42" x14ac:dyDescent="0.25">
      <c r="A355" s="4" t="s">
        <v>49</v>
      </c>
      <c r="D355" s="3" t="s">
        <v>49</v>
      </c>
      <c r="E355" s="3" t="str">
        <f>INDEX('Brown tagset'!$B:$B,MATCH(IF(ISERROR(FIND("-",D355)),IF(ISERROR(FIND("+",D355)),D355,LEFT(D355,FIND("+",D355)-1)),LEFT(D355,FIND("-",D355)-1)),'Brown tagset'!$A:$A,0))</f>
        <v>begin quotation</v>
      </c>
      <c r="F355" s="3"/>
      <c r="G355" s="3" t="str">
        <f>INDEX('Brown-Universal mapping'!$B:$B,MATCH(D355,'Brown-Universal mapping'!$A:$A,0))</f>
        <v>.</v>
      </c>
      <c r="I355" s="5" t="s">
        <v>49</v>
      </c>
      <c r="J355" s="5" t="str">
        <f>INDEX('Brown tagset'!$B:$B,MATCH(IF(ISERROR(FIND("-",I355)),IF(ISERROR(FIND("+",I355)),I355,LEFT(I355,FIND("+",I355)-1)),LEFT(I355,FIND("-",I355)-1)),'Brown tagset'!$A:$A,0))</f>
        <v>begin quotation</v>
      </c>
      <c r="K355" s="5" t="s">
        <v>38</v>
      </c>
      <c r="L355" s="5" t="str">
        <f>INDEX('Brown-Universal mapping'!$B:$B,MATCH(I355,'Brown-Universal mapping'!$A:$A,0))</f>
        <v>.</v>
      </c>
      <c r="M355" s="5">
        <f t="shared" si="55"/>
        <v>1</v>
      </c>
      <c r="N355" s="5">
        <f t="shared" si="56"/>
        <v>1</v>
      </c>
      <c r="P355" s="12" t="s">
        <v>49</v>
      </c>
      <c r="Q355" s="7" t="s">
        <v>49</v>
      </c>
      <c r="R355" s="7" t="str">
        <f>INDEX('Brown tagset'!$B:$B,MATCH(IF(ISERROR(FIND("-",Q355)),IF(ISERROR(FIND("+",Q355)),Q355,LEFT(Q355,FIND("+",Q355)-1)),LEFT(Q355,FIND("-",Q355)-1)),'Brown tagset'!$A:$A,0))</f>
        <v>begin quotation</v>
      </c>
      <c r="S355" s="7"/>
      <c r="T355" s="7" t="str">
        <f>INDEX('Brown-Universal mapping'!$B:$B,MATCH(Q355,'Brown-Universal mapping'!$A:$A,0))</f>
        <v>.</v>
      </c>
      <c r="U355" s="7">
        <f t="shared" si="57"/>
        <v>1</v>
      </c>
      <c r="V355" s="7">
        <f t="shared" si="58"/>
        <v>1</v>
      </c>
      <c r="X355" s="12" t="s">
        <v>49</v>
      </c>
      <c r="Y355" s="7" t="s">
        <v>49</v>
      </c>
      <c r="Z355" s="7" t="str">
        <f>INDEX('Brown tagset'!$B:$B,MATCH(IF(ISERROR(FIND("-",Y355)),IF(ISERROR(FIND("+",Y355)),Y355,LEFT(Y355,FIND("+",Y355)-1)),LEFT(Y355,FIND("-",Y355)-1)),'Brown tagset'!$A:$A,0))</f>
        <v>begin quotation</v>
      </c>
      <c r="AA355" s="7"/>
      <c r="AB355" s="7" t="str">
        <f>INDEX('Brown-Universal mapping'!$B:$B,MATCH(Y355,'Brown-Universal mapping'!$A:$A,0))</f>
        <v>.</v>
      </c>
      <c r="AC355" s="7">
        <f t="shared" si="61"/>
        <v>1</v>
      </c>
      <c r="AD355" s="7">
        <f t="shared" si="62"/>
        <v>1</v>
      </c>
      <c r="AF355" s="9" t="s">
        <v>49</v>
      </c>
      <c r="AG355" s="9" t="str">
        <f>INDEX('Brown tagset'!$B:$B,MATCH(IF(ISERROR(FIND("-",AF355)),IF(ISERROR(FIND("+",AF355)),AF355,LEFT(AF355,FIND("+",AF355)-1)),LEFT(AF355,FIND("-",AF355)-1)),'Brown tagset'!$A:$A,0))</f>
        <v>begin quotation</v>
      </c>
      <c r="AH355" s="9" t="s">
        <v>38</v>
      </c>
      <c r="AI355" s="9" t="str">
        <f>INDEX('Brown-Universal mapping'!$B:$B,MATCH(AF355,'Brown-Universal mapping'!$A:$A,0))</f>
        <v>.</v>
      </c>
      <c r="AJ355" s="9">
        <f t="shared" si="59"/>
        <v>1</v>
      </c>
      <c r="AK355" s="9">
        <f t="shared" si="60"/>
        <v>1</v>
      </c>
      <c r="AM355" s="6">
        <f t="shared" si="63"/>
        <v>3</v>
      </c>
      <c r="AN355" s="6">
        <f t="shared" si="64"/>
        <v>3</v>
      </c>
      <c r="AP355" s="6" t="str">
        <f t="shared" si="65"/>
        <v>begin quotation3</v>
      </c>
    </row>
    <row r="356" spans="1:42" x14ac:dyDescent="0.25">
      <c r="A356" s="4" t="s">
        <v>282</v>
      </c>
      <c r="D356" s="3" t="s">
        <v>12</v>
      </c>
      <c r="E356" s="3" t="str">
        <f>INDEX('Brown tagset'!$B:$B,MATCH(IF(ISERROR(FIND("-",D356)),IF(ISERROR(FIND("+",D356)),D356,LEFT(D356,FIND("+",D356)-1)),LEFT(D356,FIND("-",D356)-1)),'Brown tagset'!$A:$A,0))</f>
        <v>singular or mass noun</v>
      </c>
      <c r="F356" s="3"/>
      <c r="G356" s="3" t="str">
        <f>INDEX('Brown-Universal mapping'!$B:$B,MATCH(D356,'Brown-Universal mapping'!$A:$A,0))</f>
        <v>NOUN</v>
      </c>
      <c r="I356" s="5" t="s">
        <v>12</v>
      </c>
      <c r="J356" s="5" t="str">
        <f>INDEX('Brown tagset'!$B:$B,MATCH(IF(ISERROR(FIND("-",I356)),IF(ISERROR(FIND("+",I356)),I356,LEFT(I356,FIND("+",I356)-1)),LEFT(I356,FIND("-",I356)-1)),'Brown tagset'!$A:$A,0))</f>
        <v>singular or mass noun</v>
      </c>
      <c r="K356" s="5" t="s">
        <v>13</v>
      </c>
      <c r="L356" s="5" t="str">
        <f>INDEX('Brown-Universal mapping'!$B:$B,MATCH(I356,'Brown-Universal mapping'!$A:$A,0))</f>
        <v>NOUN</v>
      </c>
      <c r="M356" s="5">
        <f t="shared" si="55"/>
        <v>1</v>
      </c>
      <c r="N356" s="5">
        <f t="shared" si="56"/>
        <v>1</v>
      </c>
      <c r="P356" s="12" t="s">
        <v>282</v>
      </c>
      <c r="Q356" s="7" t="s">
        <v>289</v>
      </c>
      <c r="R356" s="7" t="str">
        <f>INDEX('Brown tagset'!$B:$B,MATCH(IF(ISERROR(FIND("-",Q356)),IF(ISERROR(FIND("+",Q356)),Q356,LEFT(Q356,FIND("+",Q356)-1)),LEFT(Q356,FIND("-",Q356)-1)),'Brown tagset'!$A:$A,0))</f>
        <v>singular or mass noun</v>
      </c>
      <c r="S356" s="7"/>
      <c r="T356" s="7" t="str">
        <f>INDEX('Brown-Universal mapping'!$B:$B,MATCH(Q356,'Brown-Universal mapping'!$A:$A,0))</f>
        <v>NOUN</v>
      </c>
      <c r="U356" s="7">
        <f t="shared" si="57"/>
        <v>1</v>
      </c>
      <c r="V356" s="7">
        <f t="shared" si="58"/>
        <v>1</v>
      </c>
      <c r="X356" s="12" t="s">
        <v>282</v>
      </c>
      <c r="Y356" s="7" t="s">
        <v>289</v>
      </c>
      <c r="Z356" s="7" t="str">
        <f>INDEX('Brown tagset'!$B:$B,MATCH(IF(ISERROR(FIND("-",Y356)),IF(ISERROR(FIND("+",Y356)),Y356,LEFT(Y356,FIND("+",Y356)-1)),LEFT(Y356,FIND("-",Y356)-1)),'Brown tagset'!$A:$A,0))</f>
        <v>singular or mass noun</v>
      </c>
      <c r="AA356" s="7"/>
      <c r="AB356" s="7" t="str">
        <f>INDEX('Brown-Universal mapping'!$B:$B,MATCH(Y356,'Brown-Universal mapping'!$A:$A,0))</f>
        <v>NOUN</v>
      </c>
      <c r="AC356" s="7">
        <f t="shared" si="61"/>
        <v>1</v>
      </c>
      <c r="AD356" s="7">
        <f t="shared" si="62"/>
        <v>1</v>
      </c>
      <c r="AF356" s="9" t="s">
        <v>12</v>
      </c>
      <c r="AG356" s="9" t="str">
        <f>INDEX('Brown tagset'!$B:$B,MATCH(IF(ISERROR(FIND("-",AF356)),IF(ISERROR(FIND("+",AF356)),AF356,LEFT(AF356,FIND("+",AF356)-1)),LEFT(AF356,FIND("-",AF356)-1)),'Brown tagset'!$A:$A,0))</f>
        <v>singular or mass noun</v>
      </c>
      <c r="AH356" s="9" t="s">
        <v>13</v>
      </c>
      <c r="AI356" s="9" t="str">
        <f>INDEX('Brown-Universal mapping'!$B:$B,MATCH(AF356,'Brown-Universal mapping'!$A:$A,0))</f>
        <v>NOUN</v>
      </c>
      <c r="AJ356" s="9">
        <f t="shared" si="59"/>
        <v>1</v>
      </c>
      <c r="AK356" s="9">
        <f t="shared" si="60"/>
        <v>1</v>
      </c>
      <c r="AM356" s="6">
        <f t="shared" si="63"/>
        <v>3</v>
      </c>
      <c r="AN356" s="6">
        <f t="shared" si="64"/>
        <v>3</v>
      </c>
      <c r="AP356" s="6" t="str">
        <f t="shared" si="65"/>
        <v>singular or mass noun3</v>
      </c>
    </row>
    <row r="357" spans="1:42" x14ac:dyDescent="0.25">
      <c r="A357" s="4" t="s">
        <v>283</v>
      </c>
      <c r="D357" s="3" t="s">
        <v>12</v>
      </c>
      <c r="E357" s="3" t="str">
        <f>INDEX('Brown tagset'!$B:$B,MATCH(IF(ISERROR(FIND("-",D357)),IF(ISERROR(FIND("+",D357)),D357,LEFT(D357,FIND("+",D357)-1)),LEFT(D357,FIND("-",D357)-1)),'Brown tagset'!$A:$A,0))</f>
        <v>singular or mass noun</v>
      </c>
      <c r="F357" s="3"/>
      <c r="G357" s="3" t="str">
        <f>INDEX('Brown-Universal mapping'!$B:$B,MATCH(D357,'Brown-Universal mapping'!$A:$A,0))</f>
        <v>NOUN</v>
      </c>
      <c r="I357" s="5" t="s">
        <v>12</v>
      </c>
      <c r="J357" s="5" t="str">
        <f>INDEX('Brown tagset'!$B:$B,MATCH(IF(ISERROR(FIND("-",I357)),IF(ISERROR(FIND("+",I357)),I357,LEFT(I357,FIND("+",I357)-1)),LEFT(I357,FIND("-",I357)-1)),'Brown tagset'!$A:$A,0))</f>
        <v>singular or mass noun</v>
      </c>
      <c r="K357" s="5" t="s">
        <v>13</v>
      </c>
      <c r="L357" s="5" t="str">
        <f>INDEX('Brown-Universal mapping'!$B:$B,MATCH(I357,'Brown-Universal mapping'!$A:$A,0))</f>
        <v>NOUN</v>
      </c>
      <c r="M357" s="5">
        <f t="shared" si="55"/>
        <v>1</v>
      </c>
      <c r="N357" s="5">
        <f t="shared" si="56"/>
        <v>1</v>
      </c>
      <c r="P357" s="12" t="s">
        <v>283</v>
      </c>
      <c r="Q357" s="7" t="s">
        <v>289</v>
      </c>
      <c r="R357" s="7" t="str">
        <f>INDEX('Brown tagset'!$B:$B,MATCH(IF(ISERROR(FIND("-",Q357)),IF(ISERROR(FIND("+",Q357)),Q357,LEFT(Q357,FIND("+",Q357)-1)),LEFT(Q357,FIND("-",Q357)-1)),'Brown tagset'!$A:$A,0))</f>
        <v>singular or mass noun</v>
      </c>
      <c r="S357" s="7"/>
      <c r="T357" s="7" t="str">
        <f>INDEX('Brown-Universal mapping'!$B:$B,MATCH(Q357,'Brown-Universal mapping'!$A:$A,0))</f>
        <v>NOUN</v>
      </c>
      <c r="U357" s="7">
        <f t="shared" si="57"/>
        <v>1</v>
      </c>
      <c r="V357" s="7">
        <f t="shared" si="58"/>
        <v>1</v>
      </c>
      <c r="X357" s="12" t="s">
        <v>283</v>
      </c>
      <c r="Y357" s="7" t="s">
        <v>289</v>
      </c>
      <c r="Z357" s="7" t="str">
        <f>INDEX('Brown tagset'!$B:$B,MATCH(IF(ISERROR(FIND("-",Y357)),IF(ISERROR(FIND("+",Y357)),Y357,LEFT(Y357,FIND("+",Y357)-1)),LEFT(Y357,FIND("-",Y357)-1)),'Brown tagset'!$A:$A,0))</f>
        <v>singular or mass noun</v>
      </c>
      <c r="AA357" s="7"/>
      <c r="AB357" s="7" t="str">
        <f>INDEX('Brown-Universal mapping'!$B:$B,MATCH(Y357,'Brown-Universal mapping'!$A:$A,0))</f>
        <v>NOUN</v>
      </c>
      <c r="AC357" s="7">
        <f t="shared" si="61"/>
        <v>1</v>
      </c>
      <c r="AD357" s="7">
        <f t="shared" si="62"/>
        <v>1</v>
      </c>
      <c r="AF357" s="9" t="s">
        <v>12</v>
      </c>
      <c r="AG357" s="9" t="str">
        <f>INDEX('Brown tagset'!$B:$B,MATCH(IF(ISERROR(FIND("-",AF357)),IF(ISERROR(FIND("+",AF357)),AF357,LEFT(AF357,FIND("+",AF357)-1)),LEFT(AF357,FIND("-",AF357)-1)),'Brown tagset'!$A:$A,0))</f>
        <v>singular or mass noun</v>
      </c>
      <c r="AH357" s="9" t="s">
        <v>13</v>
      </c>
      <c r="AI357" s="9" t="str">
        <f>INDEX('Brown-Universal mapping'!$B:$B,MATCH(AF357,'Brown-Universal mapping'!$A:$A,0))</f>
        <v>NOUN</v>
      </c>
      <c r="AJ357" s="9">
        <f t="shared" si="59"/>
        <v>1</v>
      </c>
      <c r="AK357" s="9">
        <f t="shared" si="60"/>
        <v>1</v>
      </c>
      <c r="AM357" s="6">
        <f t="shared" si="63"/>
        <v>3</v>
      </c>
      <c r="AN357" s="6">
        <f t="shared" si="64"/>
        <v>3</v>
      </c>
      <c r="AP357" s="6" t="str">
        <f t="shared" si="65"/>
        <v>singular or mass noun3</v>
      </c>
    </row>
    <row r="358" spans="1:42" x14ac:dyDescent="0.25">
      <c r="A358" s="4" t="s">
        <v>124</v>
      </c>
      <c r="D358" s="3" t="s">
        <v>59</v>
      </c>
      <c r="E358" s="3" t="str">
        <f>INDEX('Brown tagset'!$B:$B,MATCH(IF(ISERROR(FIND("-",D358)),IF(ISERROR(FIND("+",D358)),D358,LEFT(D358,FIND("+",D358)-1)),LEFT(D358,FIND("-",D358)-1)),'Brown tagset'!$A:$A,0))</f>
        <v>preposition</v>
      </c>
      <c r="F358" s="3"/>
      <c r="G358" s="3" t="str">
        <f>INDEX('Brown-Universal mapping'!$B:$B,MATCH(D358,'Brown-Universal mapping'!$A:$A,0))</f>
        <v>ADP</v>
      </c>
      <c r="I358" s="5" t="s">
        <v>59</v>
      </c>
      <c r="J358" s="5" t="str">
        <f>INDEX('Brown tagset'!$B:$B,MATCH(IF(ISERROR(FIND("-",I358)),IF(ISERROR(FIND("+",I358)),I358,LEFT(I358,FIND("+",I358)-1)),LEFT(I358,FIND("-",I358)-1)),'Brown tagset'!$A:$A,0))</f>
        <v>preposition</v>
      </c>
      <c r="K358" s="5" t="s">
        <v>60</v>
      </c>
      <c r="L358" s="5" t="str">
        <f>INDEX('Brown-Universal mapping'!$B:$B,MATCH(I358,'Brown-Universal mapping'!$A:$A,0))</f>
        <v>ADP</v>
      </c>
      <c r="M358" s="5">
        <f t="shared" si="55"/>
        <v>1</v>
      </c>
      <c r="N358" s="5">
        <f t="shared" si="56"/>
        <v>1</v>
      </c>
      <c r="P358" s="12" t="s">
        <v>124</v>
      </c>
      <c r="Q358" s="7" t="s">
        <v>124</v>
      </c>
      <c r="R358" s="7" t="str">
        <f>INDEX('Brown tagset'!$B:$B,MATCH(IF(ISERROR(FIND("-",Q358)),IF(ISERROR(FIND("+",Q358)),Q358,LEFT(Q358,FIND("+",Q358)-1)),LEFT(Q358,FIND("-",Q358)-1)),'Brown tagset'!$A:$A,0))</f>
        <v>preposition</v>
      </c>
      <c r="S358" s="7"/>
      <c r="T358" s="7" t="str">
        <f>INDEX('Brown-Universal mapping'!$B:$B,MATCH(Q358,'Brown-Universal mapping'!$A:$A,0))</f>
        <v>ADP</v>
      </c>
      <c r="U358" s="7">
        <f t="shared" si="57"/>
        <v>1</v>
      </c>
      <c r="V358" s="7">
        <f t="shared" si="58"/>
        <v>1</v>
      </c>
      <c r="X358" s="12" t="s">
        <v>124</v>
      </c>
      <c r="Y358" s="7" t="s">
        <v>124</v>
      </c>
      <c r="Z358" s="7" t="str">
        <f>INDEX('Brown tagset'!$B:$B,MATCH(IF(ISERROR(FIND("-",Y358)),IF(ISERROR(FIND("+",Y358)),Y358,LEFT(Y358,FIND("+",Y358)-1)),LEFT(Y358,FIND("-",Y358)-1)),'Brown tagset'!$A:$A,0))</f>
        <v>preposition</v>
      </c>
      <c r="AA358" s="7"/>
      <c r="AB358" s="7" t="str">
        <f>INDEX('Brown-Universal mapping'!$B:$B,MATCH(Y358,'Brown-Universal mapping'!$A:$A,0))</f>
        <v>ADP</v>
      </c>
      <c r="AC358" s="7">
        <f t="shared" si="61"/>
        <v>1</v>
      </c>
      <c r="AD358" s="7">
        <f t="shared" si="62"/>
        <v>1</v>
      </c>
      <c r="AF358" s="9" t="s">
        <v>59</v>
      </c>
      <c r="AG358" s="9" t="str">
        <f>INDEX('Brown tagset'!$B:$B,MATCH(IF(ISERROR(FIND("-",AF358)),IF(ISERROR(FIND("+",AF358)),AF358,LEFT(AF358,FIND("+",AF358)-1)),LEFT(AF358,FIND("-",AF358)-1)),'Brown tagset'!$A:$A,0))</f>
        <v>preposition</v>
      </c>
      <c r="AH358" s="9" t="s">
        <v>60</v>
      </c>
      <c r="AI358" s="9" t="str">
        <f>INDEX('Brown-Universal mapping'!$B:$B,MATCH(AF358,'Brown-Universal mapping'!$A:$A,0))</f>
        <v>ADP</v>
      </c>
      <c r="AJ358" s="9">
        <f t="shared" si="59"/>
        <v>1</v>
      </c>
      <c r="AK358" s="9">
        <f t="shared" si="60"/>
        <v>1</v>
      </c>
      <c r="AM358" s="6">
        <f t="shared" si="63"/>
        <v>3</v>
      </c>
      <c r="AN358" s="6">
        <f t="shared" si="64"/>
        <v>3</v>
      </c>
      <c r="AP358" s="6" t="str">
        <f t="shared" si="65"/>
        <v>preposition3</v>
      </c>
    </row>
    <row r="359" spans="1:42" x14ac:dyDescent="0.25">
      <c r="A359" s="4" t="s">
        <v>90</v>
      </c>
      <c r="D359" s="3" t="s">
        <v>7</v>
      </c>
      <c r="E359" s="3" t="str">
        <f>INDEX('Brown tagset'!$B:$B,MATCH(IF(ISERROR(FIND("-",D359)),IF(ISERROR(FIND("+",D359)),D359,LEFT(D359,FIND("+",D359)-1)),LEFT(D359,FIND("-",D359)-1)),'Brown tagset'!$A:$A,0))</f>
        <v>article (a, the, no)</v>
      </c>
      <c r="F359" s="3"/>
      <c r="G359" s="3" t="str">
        <f>INDEX('Brown-Universal mapping'!$B:$B,MATCH(D359,'Brown-Universal mapping'!$A:$A,0))</f>
        <v>DET</v>
      </c>
      <c r="I359" s="5" t="s">
        <v>7</v>
      </c>
      <c r="J359" s="5" t="str">
        <f>INDEX('Brown tagset'!$B:$B,MATCH(IF(ISERROR(FIND("-",I359)),IF(ISERROR(FIND("+",I359)),I359,LEFT(I359,FIND("+",I359)-1)),LEFT(I359,FIND("-",I359)-1)),'Brown tagset'!$A:$A,0))</f>
        <v>article (a, the, no)</v>
      </c>
      <c r="K359" s="5" t="s">
        <v>2</v>
      </c>
      <c r="L359" s="5" t="str">
        <f>INDEX('Brown-Universal mapping'!$B:$B,MATCH(I359,'Brown-Universal mapping'!$A:$A,0))</f>
        <v>DET</v>
      </c>
      <c r="M359" s="5">
        <f t="shared" si="55"/>
        <v>1</v>
      </c>
      <c r="N359" s="5">
        <f t="shared" si="56"/>
        <v>1</v>
      </c>
      <c r="P359" s="12" t="s">
        <v>90</v>
      </c>
      <c r="Q359" s="7" t="s">
        <v>89</v>
      </c>
      <c r="R359" s="7" t="str">
        <f>INDEX('Brown tagset'!$B:$B,MATCH(IF(ISERROR(FIND("-",Q359)),IF(ISERROR(FIND("+",Q359)),Q359,LEFT(Q359,FIND("+",Q359)-1)),LEFT(Q359,FIND("-",Q359)-1)),'Brown tagset'!$A:$A,0))</f>
        <v>article (a, the, no)</v>
      </c>
      <c r="S359" s="7"/>
      <c r="T359" s="7" t="str">
        <f>INDEX('Brown-Universal mapping'!$B:$B,MATCH(Q359,'Brown-Universal mapping'!$A:$A,0))</f>
        <v>DET</v>
      </c>
      <c r="U359" s="7">
        <f t="shared" si="57"/>
        <v>1</v>
      </c>
      <c r="V359" s="7">
        <f t="shared" si="58"/>
        <v>1</v>
      </c>
      <c r="X359" s="12" t="s">
        <v>90</v>
      </c>
      <c r="Y359" s="7" t="s">
        <v>89</v>
      </c>
      <c r="Z359" s="7" t="str">
        <f>INDEX('Brown tagset'!$B:$B,MATCH(IF(ISERROR(FIND("-",Y359)),IF(ISERROR(FIND("+",Y359)),Y359,LEFT(Y359,FIND("+",Y359)-1)),LEFT(Y359,FIND("-",Y359)-1)),'Brown tagset'!$A:$A,0))</f>
        <v>article (a, the, no)</v>
      </c>
      <c r="AA359" s="7"/>
      <c r="AB359" s="7" t="str">
        <f>INDEX('Brown-Universal mapping'!$B:$B,MATCH(Y359,'Brown-Universal mapping'!$A:$A,0))</f>
        <v>DET</v>
      </c>
      <c r="AC359" s="7">
        <f t="shared" si="61"/>
        <v>1</v>
      </c>
      <c r="AD359" s="7">
        <f t="shared" si="62"/>
        <v>1</v>
      </c>
      <c r="AF359" s="9" t="s">
        <v>7</v>
      </c>
      <c r="AG359" s="9" t="str">
        <f>INDEX('Brown tagset'!$B:$B,MATCH(IF(ISERROR(FIND("-",AF359)),IF(ISERROR(FIND("+",AF359)),AF359,LEFT(AF359,FIND("+",AF359)-1)),LEFT(AF359,FIND("-",AF359)-1)),'Brown tagset'!$A:$A,0))</f>
        <v>article (a, the, no)</v>
      </c>
      <c r="AH359" s="9" t="s">
        <v>2</v>
      </c>
      <c r="AI359" s="9" t="str">
        <f>INDEX('Brown-Universal mapping'!$B:$B,MATCH(AF359,'Brown-Universal mapping'!$A:$A,0))</f>
        <v>DET</v>
      </c>
      <c r="AJ359" s="9">
        <f t="shared" si="59"/>
        <v>1</v>
      </c>
      <c r="AK359" s="9">
        <f t="shared" si="60"/>
        <v>1</v>
      </c>
      <c r="AM359" s="6">
        <f t="shared" si="63"/>
        <v>3</v>
      </c>
      <c r="AN359" s="6">
        <f t="shared" si="64"/>
        <v>3</v>
      </c>
      <c r="AP359" s="6" t="str">
        <f t="shared" si="65"/>
        <v>article (a, the, no)3</v>
      </c>
    </row>
    <row r="360" spans="1:42" x14ac:dyDescent="0.25">
      <c r="A360" s="4" t="s">
        <v>70</v>
      </c>
      <c r="D360" s="3" t="s">
        <v>66</v>
      </c>
      <c r="E360" s="3" t="str">
        <f>INDEX('Brown tagset'!$B:$B,MATCH(IF(ISERROR(FIND("-",D360)),IF(ISERROR(FIND("+",D360)),D360,LEFT(D360,FIND("+",D360)-1)),LEFT(D360,FIND("-",D360)-1)),'Brown tagset'!$A:$A,0))</f>
        <v>proper noun or part of name phrase</v>
      </c>
      <c r="F360" s="3"/>
      <c r="G360" s="3" t="str">
        <f>INDEX('Brown-Universal mapping'!$B:$B,MATCH(D360,'Brown-Universal mapping'!$A:$A,0))</f>
        <v>NOUN</v>
      </c>
      <c r="I360" s="5" t="s">
        <v>66</v>
      </c>
      <c r="J360" s="5" t="str">
        <f>INDEX('Brown tagset'!$B:$B,MATCH(IF(ISERROR(FIND("-",I360)),IF(ISERROR(FIND("+",I360)),I360,LEFT(I360,FIND("+",I360)-1)),LEFT(I360,FIND("-",I360)-1)),'Brown tagset'!$A:$A,0))</f>
        <v>proper noun or part of name phrase</v>
      </c>
      <c r="K360" s="5" t="s">
        <v>13</v>
      </c>
      <c r="L360" s="5" t="str">
        <f>INDEX('Brown-Universal mapping'!$B:$B,MATCH(I360,'Brown-Universal mapping'!$A:$A,0))</f>
        <v>NOUN</v>
      </c>
      <c r="M360" s="5">
        <f t="shared" si="55"/>
        <v>1</v>
      </c>
      <c r="N360" s="5">
        <f t="shared" si="56"/>
        <v>1</v>
      </c>
      <c r="P360" s="12" t="s">
        <v>70</v>
      </c>
      <c r="Q360" s="7" t="s">
        <v>287</v>
      </c>
      <c r="R360" s="7" t="str">
        <f>INDEX('Brown tagset'!$B:$B,MATCH(IF(ISERROR(FIND("-",Q360)),IF(ISERROR(FIND("+",Q360)),Q360,LEFT(Q360,FIND("+",Q360)-1)),LEFT(Q360,FIND("-",Q360)-1)),'Brown tagset'!$A:$A,0))</f>
        <v>proper noun or part of name phrase</v>
      </c>
      <c r="S360" s="7"/>
      <c r="T360" s="7" t="str">
        <f>INDEX('Brown-Universal mapping'!$B:$B,MATCH(Q360,'Brown-Universal mapping'!$A:$A,0))</f>
        <v>NOUN</v>
      </c>
      <c r="U360" s="7">
        <f t="shared" si="57"/>
        <v>1</v>
      </c>
      <c r="V360" s="7">
        <f t="shared" si="58"/>
        <v>1</v>
      </c>
      <c r="X360" s="12" t="s">
        <v>70</v>
      </c>
      <c r="Y360" s="7" t="s">
        <v>287</v>
      </c>
      <c r="Z360" s="7" t="str">
        <f>INDEX('Brown tagset'!$B:$B,MATCH(IF(ISERROR(FIND("-",Y360)),IF(ISERROR(FIND("+",Y360)),Y360,LEFT(Y360,FIND("+",Y360)-1)),LEFT(Y360,FIND("-",Y360)-1)),'Brown tagset'!$A:$A,0))</f>
        <v>proper noun or part of name phrase</v>
      </c>
      <c r="AA360" s="7"/>
      <c r="AB360" s="7" t="str">
        <f>INDEX('Brown-Universal mapping'!$B:$B,MATCH(Y360,'Brown-Universal mapping'!$A:$A,0))</f>
        <v>NOUN</v>
      </c>
      <c r="AC360" s="7">
        <f t="shared" si="61"/>
        <v>1</v>
      </c>
      <c r="AD360" s="7">
        <f t="shared" si="62"/>
        <v>1</v>
      </c>
      <c r="AF360" s="9" t="s">
        <v>66</v>
      </c>
      <c r="AG360" s="9" t="str">
        <f>INDEX('Brown tagset'!$B:$B,MATCH(IF(ISERROR(FIND("-",AF360)),IF(ISERROR(FIND("+",AF360)),AF360,LEFT(AF360,FIND("+",AF360)-1)),LEFT(AF360,FIND("-",AF360)-1)),'Brown tagset'!$A:$A,0))</f>
        <v>proper noun or part of name phrase</v>
      </c>
      <c r="AH360" s="9" t="s">
        <v>13</v>
      </c>
      <c r="AI360" s="9" t="str">
        <f>INDEX('Brown-Universal mapping'!$B:$B,MATCH(AF360,'Brown-Universal mapping'!$A:$A,0))</f>
        <v>NOUN</v>
      </c>
      <c r="AJ360" s="9">
        <f t="shared" si="59"/>
        <v>1</v>
      </c>
      <c r="AK360" s="9">
        <f t="shared" si="60"/>
        <v>1</v>
      </c>
      <c r="AM360" s="6">
        <f t="shared" si="63"/>
        <v>3</v>
      </c>
      <c r="AN360" s="6">
        <f t="shared" si="64"/>
        <v>3</v>
      </c>
      <c r="AP360" s="6" t="str">
        <f t="shared" si="65"/>
        <v>proper noun or part of name phrase3</v>
      </c>
    </row>
    <row r="361" spans="1:42" x14ac:dyDescent="0.25">
      <c r="A361" s="4" t="s">
        <v>151</v>
      </c>
      <c r="D361" s="3" t="s">
        <v>66</v>
      </c>
      <c r="E361" s="3" t="str">
        <f>INDEX('Brown tagset'!$B:$B,MATCH(IF(ISERROR(FIND("-",D361)),IF(ISERROR(FIND("+",D361)),D361,LEFT(D361,FIND("+",D361)-1)),LEFT(D361,FIND("-",D361)-1)),'Brown tagset'!$A:$A,0))</f>
        <v>proper noun or part of name phrase</v>
      </c>
      <c r="F361" s="3"/>
      <c r="G361" s="3" t="str">
        <f>INDEX('Brown-Universal mapping'!$B:$B,MATCH(D361,'Brown-Universal mapping'!$A:$A,0))</f>
        <v>NOUN</v>
      </c>
      <c r="I361" s="5" t="s">
        <v>66</v>
      </c>
      <c r="J361" s="5" t="str">
        <f>INDEX('Brown tagset'!$B:$B,MATCH(IF(ISERROR(FIND("-",I361)),IF(ISERROR(FIND("+",I361)),I361,LEFT(I361,FIND("+",I361)-1)),LEFT(I361,FIND("-",I361)-1)),'Brown tagset'!$A:$A,0))</f>
        <v>proper noun or part of name phrase</v>
      </c>
      <c r="K361" s="5" t="s">
        <v>13</v>
      </c>
      <c r="L361" s="5" t="str">
        <f>INDEX('Brown-Universal mapping'!$B:$B,MATCH(I361,'Brown-Universal mapping'!$A:$A,0))</f>
        <v>NOUN</v>
      </c>
      <c r="M361" s="5">
        <f t="shared" si="55"/>
        <v>1</v>
      </c>
      <c r="N361" s="5">
        <f t="shared" si="56"/>
        <v>1</v>
      </c>
      <c r="P361" s="12" t="s">
        <v>151</v>
      </c>
      <c r="Q361" s="7" t="s">
        <v>287</v>
      </c>
      <c r="R361" s="7" t="str">
        <f>INDEX('Brown tagset'!$B:$B,MATCH(IF(ISERROR(FIND("-",Q361)),IF(ISERROR(FIND("+",Q361)),Q361,LEFT(Q361,FIND("+",Q361)-1)),LEFT(Q361,FIND("-",Q361)-1)),'Brown tagset'!$A:$A,0))</f>
        <v>proper noun or part of name phrase</v>
      </c>
      <c r="S361" s="7"/>
      <c r="T361" s="7" t="str">
        <f>INDEX('Brown-Universal mapping'!$B:$B,MATCH(Q361,'Brown-Universal mapping'!$A:$A,0))</f>
        <v>NOUN</v>
      </c>
      <c r="U361" s="7">
        <f t="shared" si="57"/>
        <v>1</v>
      </c>
      <c r="V361" s="7">
        <f t="shared" si="58"/>
        <v>1</v>
      </c>
      <c r="X361" s="12" t="s">
        <v>151</v>
      </c>
      <c r="Y361" s="7" t="s">
        <v>287</v>
      </c>
      <c r="Z361" s="7" t="str">
        <f>INDEX('Brown tagset'!$B:$B,MATCH(IF(ISERROR(FIND("-",Y361)),IF(ISERROR(FIND("+",Y361)),Y361,LEFT(Y361,FIND("+",Y361)-1)),LEFT(Y361,FIND("-",Y361)-1)),'Brown tagset'!$A:$A,0))</f>
        <v>proper noun or part of name phrase</v>
      </c>
      <c r="AA361" s="7"/>
      <c r="AB361" s="7" t="str">
        <f>INDEX('Brown-Universal mapping'!$B:$B,MATCH(Y361,'Brown-Universal mapping'!$A:$A,0))</f>
        <v>NOUN</v>
      </c>
      <c r="AC361" s="7">
        <f t="shared" si="61"/>
        <v>1</v>
      </c>
      <c r="AD361" s="7">
        <f t="shared" si="62"/>
        <v>1</v>
      </c>
      <c r="AF361" s="9" t="s">
        <v>66</v>
      </c>
      <c r="AG361" s="9" t="str">
        <f>INDEX('Brown tagset'!$B:$B,MATCH(IF(ISERROR(FIND("-",AF361)),IF(ISERROR(FIND("+",AF361)),AF361,LEFT(AF361,FIND("+",AF361)-1)),LEFT(AF361,FIND("-",AF361)-1)),'Brown tagset'!$A:$A,0))</f>
        <v>proper noun or part of name phrase</v>
      </c>
      <c r="AH361" s="9" t="s">
        <v>13</v>
      </c>
      <c r="AI361" s="9" t="str">
        <f>INDEX('Brown-Universal mapping'!$B:$B,MATCH(AF361,'Brown-Universal mapping'!$A:$A,0))</f>
        <v>NOUN</v>
      </c>
      <c r="AJ361" s="9">
        <f t="shared" si="59"/>
        <v>1</v>
      </c>
      <c r="AK361" s="9">
        <f t="shared" si="60"/>
        <v>1</v>
      </c>
      <c r="AM361" s="6">
        <f t="shared" si="63"/>
        <v>3</v>
      </c>
      <c r="AN361" s="6">
        <f t="shared" si="64"/>
        <v>3</v>
      </c>
      <c r="AP361" s="6" t="str">
        <f t="shared" si="65"/>
        <v>proper noun or part of name phrase3</v>
      </c>
    </row>
    <row r="362" spans="1:42" x14ac:dyDescent="0.25">
      <c r="A362" s="4" t="s">
        <v>284</v>
      </c>
      <c r="D362" s="3" t="s">
        <v>12</v>
      </c>
      <c r="E362" s="3" t="str">
        <f>INDEX('Brown tagset'!$B:$B,MATCH(IF(ISERROR(FIND("-",D362)),IF(ISERROR(FIND("+",D362)),D362,LEFT(D362,FIND("+",D362)-1)),LEFT(D362,FIND("-",D362)-1)),'Brown tagset'!$A:$A,0))</f>
        <v>singular or mass noun</v>
      </c>
      <c r="F362" s="3"/>
      <c r="G362" s="3" t="str">
        <f>INDEX('Brown-Universal mapping'!$B:$B,MATCH(D362,'Brown-Universal mapping'!$A:$A,0))</f>
        <v>NOUN</v>
      </c>
      <c r="I362" s="5" t="s">
        <v>12</v>
      </c>
      <c r="J362" s="5" t="str">
        <f>INDEX('Brown tagset'!$B:$B,MATCH(IF(ISERROR(FIND("-",I362)),IF(ISERROR(FIND("+",I362)),I362,LEFT(I362,FIND("+",I362)-1)),LEFT(I362,FIND("-",I362)-1)),'Brown tagset'!$A:$A,0))</f>
        <v>singular or mass noun</v>
      </c>
      <c r="K362" s="5" t="s">
        <v>13</v>
      </c>
      <c r="L362" s="5" t="str">
        <f>INDEX('Brown-Universal mapping'!$B:$B,MATCH(I362,'Brown-Universal mapping'!$A:$A,0))</f>
        <v>NOUN</v>
      </c>
      <c r="M362" s="5">
        <f t="shared" si="55"/>
        <v>1</v>
      </c>
      <c r="N362" s="5">
        <f t="shared" si="56"/>
        <v>1</v>
      </c>
      <c r="P362" s="12" t="s">
        <v>284</v>
      </c>
      <c r="Q362" s="7" t="s">
        <v>289</v>
      </c>
      <c r="R362" s="7" t="str">
        <f>INDEX('Brown tagset'!$B:$B,MATCH(IF(ISERROR(FIND("-",Q362)),IF(ISERROR(FIND("+",Q362)),Q362,LEFT(Q362,FIND("+",Q362)-1)),LEFT(Q362,FIND("-",Q362)-1)),'Brown tagset'!$A:$A,0))</f>
        <v>singular or mass noun</v>
      </c>
      <c r="S362" s="7"/>
      <c r="T362" s="7" t="str">
        <f>INDEX('Brown-Universal mapping'!$B:$B,MATCH(Q362,'Brown-Universal mapping'!$A:$A,0))</f>
        <v>NOUN</v>
      </c>
      <c r="U362" s="7">
        <f t="shared" si="57"/>
        <v>1</v>
      </c>
      <c r="V362" s="7">
        <f t="shared" si="58"/>
        <v>1</v>
      </c>
      <c r="X362" s="12" t="s">
        <v>284</v>
      </c>
      <c r="Y362" s="7" t="s">
        <v>289</v>
      </c>
      <c r="Z362" s="7" t="str">
        <f>INDEX('Brown tagset'!$B:$B,MATCH(IF(ISERROR(FIND("-",Y362)),IF(ISERROR(FIND("+",Y362)),Y362,LEFT(Y362,FIND("+",Y362)-1)),LEFT(Y362,FIND("-",Y362)-1)),'Brown tagset'!$A:$A,0))</f>
        <v>singular or mass noun</v>
      </c>
      <c r="AA362" s="7"/>
      <c r="AB362" s="7" t="str">
        <f>INDEX('Brown-Universal mapping'!$B:$B,MATCH(Y362,'Brown-Universal mapping'!$A:$A,0))</f>
        <v>NOUN</v>
      </c>
      <c r="AC362" s="7">
        <f t="shared" si="61"/>
        <v>1</v>
      </c>
      <c r="AD362" s="7">
        <f t="shared" si="62"/>
        <v>1</v>
      </c>
      <c r="AF362" s="9" t="s">
        <v>12</v>
      </c>
      <c r="AG362" s="9" t="str">
        <f>INDEX('Brown tagset'!$B:$B,MATCH(IF(ISERROR(FIND("-",AF362)),IF(ISERROR(FIND("+",AF362)),AF362,LEFT(AF362,FIND("+",AF362)-1)),LEFT(AF362,FIND("-",AF362)-1)),'Brown tagset'!$A:$A,0))</f>
        <v>singular or mass noun</v>
      </c>
      <c r="AH362" s="9" t="s">
        <v>13</v>
      </c>
      <c r="AI362" s="9" t="str">
        <f>INDEX('Brown-Universal mapping'!$B:$B,MATCH(AF362,'Brown-Universal mapping'!$A:$A,0))</f>
        <v>NOUN</v>
      </c>
      <c r="AJ362" s="9">
        <f t="shared" si="59"/>
        <v>1</v>
      </c>
      <c r="AK362" s="9">
        <f t="shared" si="60"/>
        <v>1</v>
      </c>
      <c r="AM362" s="6">
        <f t="shared" si="63"/>
        <v>3</v>
      </c>
      <c r="AN362" s="6">
        <f t="shared" si="64"/>
        <v>3</v>
      </c>
      <c r="AP362" s="6" t="str">
        <f t="shared" si="65"/>
        <v>singular or mass noun3</v>
      </c>
    </row>
    <row r="363" spans="1:42" x14ac:dyDescent="0.25">
      <c r="A363" s="4" t="s">
        <v>72</v>
      </c>
      <c r="D363" s="3" t="s">
        <v>38</v>
      </c>
      <c r="E363" s="3" t="str">
        <f>INDEX('Brown tagset'!$B:$B,MATCH(IF(ISERROR(FIND("-",D363)),IF(ISERROR(FIND("+",D363)),D363,LEFT(D363,FIND("+",D363)-1)),LEFT(D363,FIND("-",D363)-1)),'Brown tagset'!$A:$A,0))</f>
        <v>sentence (. ; ? *)</v>
      </c>
      <c r="F363" s="3"/>
      <c r="G363" s="3" t="str">
        <f>INDEX('Brown-Universal mapping'!$B:$B,MATCH(D363,'Brown-Universal mapping'!$A:$A,0))</f>
        <v>.</v>
      </c>
      <c r="I363" s="5" t="s">
        <v>38</v>
      </c>
      <c r="J363" s="5" t="str">
        <f>INDEX('Brown tagset'!$B:$B,MATCH(IF(ISERROR(FIND("-",I363)),IF(ISERROR(FIND("+",I363)),I363,LEFT(I363,FIND("+",I363)-1)),LEFT(I363,FIND("-",I363)-1)),'Brown tagset'!$A:$A,0))</f>
        <v>sentence (. ; ? *)</v>
      </c>
      <c r="K363" s="5" t="s">
        <v>38</v>
      </c>
      <c r="L363" s="5" t="str">
        <f>INDEX('Brown-Universal mapping'!$B:$B,MATCH(I363,'Brown-Universal mapping'!$A:$A,0))</f>
        <v>.</v>
      </c>
      <c r="M363" s="5">
        <f t="shared" si="55"/>
        <v>1</v>
      </c>
      <c r="N363" s="5">
        <f t="shared" si="56"/>
        <v>1</v>
      </c>
      <c r="P363" s="12" t="s">
        <v>72</v>
      </c>
      <c r="Q363" s="7" t="s">
        <v>38</v>
      </c>
      <c r="R363" s="7" t="str">
        <f>INDEX('Brown tagset'!$B:$B,MATCH(IF(ISERROR(FIND("-",Q363)),IF(ISERROR(FIND("+",Q363)),Q363,LEFT(Q363,FIND("+",Q363)-1)),LEFT(Q363,FIND("-",Q363)-1)),'Brown tagset'!$A:$A,0))</f>
        <v>sentence (. ; ? *)</v>
      </c>
      <c r="S363" s="7"/>
      <c r="T363" s="7" t="str">
        <f>INDEX('Brown-Universal mapping'!$B:$B,MATCH(Q363,'Brown-Universal mapping'!$A:$A,0))</f>
        <v>.</v>
      </c>
      <c r="U363" s="7">
        <f t="shared" si="57"/>
        <v>1</v>
      </c>
      <c r="V363" s="7">
        <f t="shared" si="58"/>
        <v>1</v>
      </c>
      <c r="X363" s="12" t="s">
        <v>72</v>
      </c>
      <c r="Y363" s="7" t="s">
        <v>38</v>
      </c>
      <c r="Z363" s="7" t="str">
        <f>INDEX('Brown tagset'!$B:$B,MATCH(IF(ISERROR(FIND("-",Y363)),IF(ISERROR(FIND("+",Y363)),Y363,LEFT(Y363,FIND("+",Y363)-1)),LEFT(Y363,FIND("-",Y363)-1)),'Brown tagset'!$A:$A,0))</f>
        <v>sentence (. ; ? *)</v>
      </c>
      <c r="AA363" s="7"/>
      <c r="AB363" s="7" t="str">
        <f>INDEX('Brown-Universal mapping'!$B:$B,MATCH(Y363,'Brown-Universal mapping'!$A:$A,0))</f>
        <v>.</v>
      </c>
      <c r="AC363" s="7">
        <f t="shared" si="61"/>
        <v>1</v>
      </c>
      <c r="AD363" s="7">
        <f t="shared" si="62"/>
        <v>1</v>
      </c>
      <c r="AF363" s="9" t="s">
        <v>38</v>
      </c>
      <c r="AG363" s="9" t="str">
        <f>INDEX('Brown tagset'!$B:$B,MATCH(IF(ISERROR(FIND("-",AF363)),IF(ISERROR(FIND("+",AF363)),AF363,LEFT(AF363,FIND("+",AF363)-1)),LEFT(AF363,FIND("-",AF363)-1)),'Brown tagset'!$A:$A,0))</f>
        <v>sentence (. ; ? *)</v>
      </c>
      <c r="AH363" s="9" t="s">
        <v>38</v>
      </c>
      <c r="AI363" s="9" t="str">
        <f>INDEX('Brown-Universal mapping'!$B:$B,MATCH(AF363,'Brown-Universal mapping'!$A:$A,0))</f>
        <v>.</v>
      </c>
      <c r="AJ363" s="9">
        <f t="shared" si="59"/>
        <v>1</v>
      </c>
      <c r="AK363" s="9">
        <f t="shared" si="60"/>
        <v>1</v>
      </c>
      <c r="AM363" s="6">
        <f t="shared" si="63"/>
        <v>3</v>
      </c>
      <c r="AN363" s="6">
        <f t="shared" si="64"/>
        <v>3</v>
      </c>
      <c r="AP363" s="6" t="str">
        <f t="shared" si="65"/>
        <v>sentence (. ; ? *)3</v>
      </c>
    </row>
    <row r="364" spans="1:42" x14ac:dyDescent="0.25">
      <c r="A364" s="4" t="s">
        <v>133</v>
      </c>
      <c r="D364" s="3" t="s">
        <v>26</v>
      </c>
      <c r="E364" s="3" t="str">
        <f>INDEX('Brown tagset'!$B:$B,MATCH(IF(ISERROR(FIND("-",D364)),IF(ISERROR(FIND("+",D364)),D364,LEFT(D364,FIND("+",D364)-1)),LEFT(D364,FIND("-",D364)-1)),'Brown tagset'!$A:$A,0))</f>
        <v>coordinating conjunction (and, or)</v>
      </c>
      <c r="F364" s="3"/>
      <c r="G364" s="3" t="str">
        <f>INDEX('Brown-Universal mapping'!$B:$B,MATCH(D364,'Brown-Universal mapping'!$A:$A,0))</f>
        <v>CONJ</v>
      </c>
      <c r="I364" s="5" t="s">
        <v>26</v>
      </c>
      <c r="J364" s="5" t="str">
        <f>INDEX('Brown tagset'!$B:$B,MATCH(IF(ISERROR(FIND("-",I364)),IF(ISERROR(FIND("+",I364)),I364,LEFT(I364,FIND("+",I364)-1)),LEFT(I364,FIND("-",I364)-1)),'Brown tagset'!$A:$A,0))</f>
        <v>coordinating conjunction (and, or)</v>
      </c>
      <c r="K364" s="5" t="s">
        <v>27</v>
      </c>
      <c r="L364" s="5" t="str">
        <f>INDEX('Brown-Universal mapping'!$B:$B,MATCH(I364,'Brown-Universal mapping'!$A:$A,0))</f>
        <v>CONJ</v>
      </c>
      <c r="M364" s="5">
        <f t="shared" si="55"/>
        <v>1</v>
      </c>
      <c r="N364" s="5">
        <f t="shared" si="56"/>
        <v>1</v>
      </c>
      <c r="P364" s="12" t="s">
        <v>133</v>
      </c>
      <c r="Q364" s="7" t="s">
        <v>293</v>
      </c>
      <c r="R364" s="7" t="str">
        <f>INDEX('Brown tagset'!$B:$B,MATCH(IF(ISERROR(FIND("-",Q364)),IF(ISERROR(FIND("+",Q364)),Q364,LEFT(Q364,FIND("+",Q364)-1)),LEFT(Q364,FIND("-",Q364)-1)),'Brown tagset'!$A:$A,0))</f>
        <v>coordinating conjunction (and, or)</v>
      </c>
      <c r="S364" s="7"/>
      <c r="T364" s="7" t="str">
        <f>INDEX('Brown-Universal mapping'!$B:$B,MATCH(Q364,'Brown-Universal mapping'!$A:$A,0))</f>
        <v>CONJ</v>
      </c>
      <c r="U364" s="7">
        <f t="shared" si="57"/>
        <v>1</v>
      </c>
      <c r="V364" s="7">
        <f t="shared" si="58"/>
        <v>1</v>
      </c>
      <c r="X364" s="12" t="s">
        <v>133</v>
      </c>
      <c r="Y364" s="7" t="s">
        <v>293</v>
      </c>
      <c r="Z364" s="7" t="str">
        <f>INDEX('Brown tagset'!$B:$B,MATCH(IF(ISERROR(FIND("-",Y364)),IF(ISERROR(FIND("+",Y364)),Y364,LEFT(Y364,FIND("+",Y364)-1)),LEFT(Y364,FIND("-",Y364)-1)),'Brown tagset'!$A:$A,0))</f>
        <v>coordinating conjunction (and, or)</v>
      </c>
      <c r="AA364" s="7"/>
      <c r="AB364" s="7" t="str">
        <f>INDEX('Brown-Universal mapping'!$B:$B,MATCH(Y364,'Brown-Universal mapping'!$A:$A,0))</f>
        <v>CONJ</v>
      </c>
      <c r="AC364" s="7">
        <f t="shared" si="61"/>
        <v>1</v>
      </c>
      <c r="AD364" s="7">
        <f t="shared" si="62"/>
        <v>1</v>
      </c>
      <c r="AF364" s="9" t="s">
        <v>26</v>
      </c>
      <c r="AG364" s="9" t="str">
        <f>INDEX('Brown tagset'!$B:$B,MATCH(IF(ISERROR(FIND("-",AF364)),IF(ISERROR(FIND("+",AF364)),AF364,LEFT(AF364,FIND("+",AF364)-1)),LEFT(AF364,FIND("-",AF364)-1)),'Brown tagset'!$A:$A,0))</f>
        <v>coordinating conjunction (and, or)</v>
      </c>
      <c r="AH364" s="9" t="s">
        <v>27</v>
      </c>
      <c r="AI364" s="9" t="str">
        <f>INDEX('Brown-Universal mapping'!$B:$B,MATCH(AF364,'Brown-Universal mapping'!$A:$A,0))</f>
        <v>CONJ</v>
      </c>
      <c r="AJ364" s="9">
        <f t="shared" si="59"/>
        <v>1</v>
      </c>
      <c r="AK364" s="9">
        <f t="shared" si="60"/>
        <v>1</v>
      </c>
      <c r="AM364" s="6">
        <f t="shared" si="63"/>
        <v>3</v>
      </c>
      <c r="AN364" s="6">
        <f t="shared" si="64"/>
        <v>3</v>
      </c>
      <c r="AP364" s="6" t="str">
        <f t="shared" si="65"/>
        <v>coordinating conjunction (and, or)3</v>
      </c>
    </row>
    <row r="365" spans="1:42" x14ac:dyDescent="0.25">
      <c r="A365" s="4" t="s">
        <v>6</v>
      </c>
      <c r="D365" s="3" t="s">
        <v>7</v>
      </c>
      <c r="E365" s="3" t="str">
        <f>INDEX('Brown tagset'!$B:$B,MATCH(IF(ISERROR(FIND("-",D365)),IF(ISERROR(FIND("+",D365)),D365,LEFT(D365,FIND("+",D365)-1)),LEFT(D365,FIND("-",D365)-1)),'Brown tagset'!$A:$A,0))</f>
        <v>article (a, the, no)</v>
      </c>
      <c r="F365" s="3"/>
      <c r="G365" s="3" t="str">
        <f>INDEX('Brown-Universal mapping'!$B:$B,MATCH(D365,'Brown-Universal mapping'!$A:$A,0))</f>
        <v>DET</v>
      </c>
      <c r="I365" s="5" t="s">
        <v>7</v>
      </c>
      <c r="J365" s="5" t="str">
        <f>INDEX('Brown tagset'!$B:$B,MATCH(IF(ISERROR(FIND("-",I365)),IF(ISERROR(FIND("+",I365)),I365,LEFT(I365,FIND("+",I365)-1)),LEFT(I365,FIND("-",I365)-1)),'Brown tagset'!$A:$A,0))</f>
        <v>article (a, the, no)</v>
      </c>
      <c r="K365" s="5" t="s">
        <v>2</v>
      </c>
      <c r="L365" s="5" t="str">
        <f>INDEX('Brown-Universal mapping'!$B:$B,MATCH(I365,'Brown-Universal mapping'!$A:$A,0))</f>
        <v>DET</v>
      </c>
      <c r="M365" s="5">
        <f t="shared" si="55"/>
        <v>1</v>
      </c>
      <c r="N365" s="5">
        <f t="shared" si="56"/>
        <v>1</v>
      </c>
      <c r="P365" s="12" t="s">
        <v>6</v>
      </c>
      <c r="Q365" s="7" t="s">
        <v>89</v>
      </c>
      <c r="R365" s="7" t="str">
        <f>INDEX('Brown tagset'!$B:$B,MATCH(IF(ISERROR(FIND("-",Q365)),IF(ISERROR(FIND("+",Q365)),Q365,LEFT(Q365,FIND("+",Q365)-1)),LEFT(Q365,FIND("-",Q365)-1)),'Brown tagset'!$A:$A,0))</f>
        <v>article (a, the, no)</v>
      </c>
      <c r="S365" s="7"/>
      <c r="T365" s="7" t="str">
        <f>INDEX('Brown-Universal mapping'!$B:$B,MATCH(Q365,'Brown-Universal mapping'!$A:$A,0))</f>
        <v>DET</v>
      </c>
      <c r="U365" s="7">
        <f t="shared" si="57"/>
        <v>1</v>
      </c>
      <c r="V365" s="7">
        <f t="shared" si="58"/>
        <v>1</v>
      </c>
      <c r="X365" s="12" t="s">
        <v>6</v>
      </c>
      <c r="Y365" s="7" t="s">
        <v>89</v>
      </c>
      <c r="Z365" s="7" t="str">
        <f>INDEX('Brown tagset'!$B:$B,MATCH(IF(ISERROR(FIND("-",Y365)),IF(ISERROR(FIND("+",Y365)),Y365,LEFT(Y365,FIND("+",Y365)-1)),LEFT(Y365,FIND("-",Y365)-1)),'Brown tagset'!$A:$A,0))</f>
        <v>article (a, the, no)</v>
      </c>
      <c r="AA365" s="7"/>
      <c r="AB365" s="7" t="str">
        <f>INDEX('Brown-Universal mapping'!$B:$B,MATCH(Y365,'Brown-Universal mapping'!$A:$A,0))</f>
        <v>DET</v>
      </c>
      <c r="AC365" s="7">
        <f t="shared" si="61"/>
        <v>1</v>
      </c>
      <c r="AD365" s="7">
        <f t="shared" si="62"/>
        <v>1</v>
      </c>
      <c r="AF365" s="9" t="s">
        <v>7</v>
      </c>
      <c r="AG365" s="9" t="str">
        <f>INDEX('Brown tagset'!$B:$B,MATCH(IF(ISERROR(FIND("-",AF365)),IF(ISERROR(FIND("+",AF365)),AF365,LEFT(AF365,FIND("+",AF365)-1)),LEFT(AF365,FIND("-",AF365)-1)),'Brown tagset'!$A:$A,0))</f>
        <v>article (a, the, no)</v>
      </c>
      <c r="AH365" s="9" t="s">
        <v>2</v>
      </c>
      <c r="AI365" s="9" t="str">
        <f>INDEX('Brown-Universal mapping'!$B:$B,MATCH(AF365,'Brown-Universal mapping'!$A:$A,0))</f>
        <v>DET</v>
      </c>
      <c r="AJ365" s="9">
        <f t="shared" si="59"/>
        <v>1</v>
      </c>
      <c r="AK365" s="9">
        <f t="shared" si="60"/>
        <v>1</v>
      </c>
      <c r="AM365" s="6">
        <f t="shared" si="63"/>
        <v>3</v>
      </c>
      <c r="AN365" s="6">
        <f t="shared" si="64"/>
        <v>3</v>
      </c>
      <c r="AP365" s="6" t="str">
        <f t="shared" si="65"/>
        <v>article (a, the, no)3</v>
      </c>
    </row>
    <row r="366" spans="1:42" x14ac:dyDescent="0.25">
      <c r="A366" s="4" t="s">
        <v>285</v>
      </c>
      <c r="D366" s="3" t="s">
        <v>12</v>
      </c>
      <c r="E366" s="3" t="str">
        <f>INDEX('Brown tagset'!$B:$B,MATCH(IF(ISERROR(FIND("-",D366)),IF(ISERROR(FIND("+",D366)),D366,LEFT(D366,FIND("+",D366)-1)),LEFT(D366,FIND("-",D366)-1)),'Brown tagset'!$A:$A,0))</f>
        <v>singular or mass noun</v>
      </c>
      <c r="F366" s="3"/>
      <c r="G366" s="3" t="str">
        <f>INDEX('Brown-Universal mapping'!$B:$B,MATCH(D366,'Brown-Universal mapping'!$A:$A,0))</f>
        <v>NOUN</v>
      </c>
      <c r="I366" s="5" t="s">
        <v>12</v>
      </c>
      <c r="J366" s="5" t="str">
        <f>INDEX('Brown tagset'!$B:$B,MATCH(IF(ISERROR(FIND("-",I366)),IF(ISERROR(FIND("+",I366)),I366,LEFT(I366,FIND("+",I366)-1)),LEFT(I366,FIND("-",I366)-1)),'Brown tagset'!$A:$A,0))</f>
        <v>singular or mass noun</v>
      </c>
      <c r="K366" s="5" t="s">
        <v>13</v>
      </c>
      <c r="L366" s="5" t="str">
        <f>INDEX('Brown-Universal mapping'!$B:$B,MATCH(I366,'Brown-Universal mapping'!$A:$A,0))</f>
        <v>NOUN</v>
      </c>
      <c r="M366" s="5">
        <f t="shared" si="55"/>
        <v>1</v>
      </c>
      <c r="N366" s="5">
        <f t="shared" si="56"/>
        <v>1</v>
      </c>
      <c r="P366" s="12" t="s">
        <v>285</v>
      </c>
      <c r="Q366" s="7" t="s">
        <v>289</v>
      </c>
      <c r="R366" s="7" t="str">
        <f>INDEX('Brown tagset'!$B:$B,MATCH(IF(ISERROR(FIND("-",Q366)),IF(ISERROR(FIND("+",Q366)),Q366,LEFT(Q366,FIND("+",Q366)-1)),LEFT(Q366,FIND("-",Q366)-1)),'Brown tagset'!$A:$A,0))</f>
        <v>singular or mass noun</v>
      </c>
      <c r="S366" s="7"/>
      <c r="T366" s="7" t="str">
        <f>INDEX('Brown-Universal mapping'!$B:$B,MATCH(Q366,'Brown-Universal mapping'!$A:$A,0))</f>
        <v>NOUN</v>
      </c>
      <c r="U366" s="7">
        <f t="shared" si="57"/>
        <v>1</v>
      </c>
      <c r="V366" s="7">
        <f t="shared" si="58"/>
        <v>1</v>
      </c>
      <c r="X366" s="12" t="s">
        <v>285</v>
      </c>
      <c r="Y366" s="7" t="s">
        <v>289</v>
      </c>
      <c r="Z366" s="7" t="str">
        <f>INDEX('Brown tagset'!$B:$B,MATCH(IF(ISERROR(FIND("-",Y366)),IF(ISERROR(FIND("+",Y366)),Y366,LEFT(Y366,FIND("+",Y366)-1)),LEFT(Y366,FIND("-",Y366)-1)),'Brown tagset'!$A:$A,0))</f>
        <v>singular or mass noun</v>
      </c>
      <c r="AA366" s="7"/>
      <c r="AB366" s="7" t="str">
        <f>INDEX('Brown-Universal mapping'!$B:$B,MATCH(Y366,'Brown-Universal mapping'!$A:$A,0))</f>
        <v>NOUN</v>
      </c>
      <c r="AC366" s="7">
        <f t="shared" si="61"/>
        <v>1</v>
      </c>
      <c r="AD366" s="7">
        <f t="shared" si="62"/>
        <v>1</v>
      </c>
      <c r="AF366" s="9" t="s">
        <v>12</v>
      </c>
      <c r="AG366" s="9" t="str">
        <f>INDEX('Brown tagset'!$B:$B,MATCH(IF(ISERROR(FIND("-",AF366)),IF(ISERROR(FIND("+",AF366)),AF366,LEFT(AF366,FIND("+",AF366)-1)),LEFT(AF366,FIND("-",AF366)-1)),'Brown tagset'!$A:$A,0))</f>
        <v>singular or mass noun</v>
      </c>
      <c r="AH366" s="9" t="s">
        <v>13</v>
      </c>
      <c r="AI366" s="9" t="str">
        <f>INDEX('Brown-Universal mapping'!$B:$B,MATCH(AF366,'Brown-Universal mapping'!$A:$A,0))</f>
        <v>NOUN</v>
      </c>
      <c r="AJ366" s="9">
        <f t="shared" si="59"/>
        <v>1</v>
      </c>
      <c r="AK366" s="9">
        <f t="shared" si="60"/>
        <v>1</v>
      </c>
      <c r="AM366" s="6">
        <f t="shared" si="63"/>
        <v>3</v>
      </c>
      <c r="AN366" s="6">
        <f t="shared" si="64"/>
        <v>3</v>
      </c>
      <c r="AP366" s="6" t="str">
        <f t="shared" si="65"/>
        <v>singular or mass noun3</v>
      </c>
    </row>
    <row r="367" spans="1:42" x14ac:dyDescent="0.25">
      <c r="A367" s="4" t="s">
        <v>81</v>
      </c>
      <c r="D367" s="3" t="s">
        <v>59</v>
      </c>
      <c r="E367" s="3" t="str">
        <f>INDEX('Brown tagset'!$B:$B,MATCH(IF(ISERROR(FIND("-",D367)),IF(ISERROR(FIND("+",D367)),D367,LEFT(D367,FIND("+",D367)-1)),LEFT(D367,FIND("-",D367)-1)),'Brown tagset'!$A:$A,0))</f>
        <v>preposition</v>
      </c>
      <c r="F367" s="3"/>
      <c r="G367" s="3" t="str">
        <f>INDEX('Brown-Universal mapping'!$B:$B,MATCH(D367,'Brown-Universal mapping'!$A:$A,0))</f>
        <v>ADP</v>
      </c>
      <c r="I367" s="5" t="s">
        <v>59</v>
      </c>
      <c r="J367" s="5" t="str">
        <f>INDEX('Brown tagset'!$B:$B,MATCH(IF(ISERROR(FIND("-",I367)),IF(ISERROR(FIND("+",I367)),I367,LEFT(I367,FIND("+",I367)-1)),LEFT(I367,FIND("-",I367)-1)),'Brown tagset'!$A:$A,0))</f>
        <v>preposition</v>
      </c>
      <c r="K367" s="5" t="s">
        <v>60</v>
      </c>
      <c r="L367" s="5" t="str">
        <f>INDEX('Brown-Universal mapping'!$B:$B,MATCH(I367,'Brown-Universal mapping'!$A:$A,0))</f>
        <v>ADP</v>
      </c>
      <c r="M367" s="5">
        <f t="shared" si="55"/>
        <v>1</v>
      </c>
      <c r="N367" s="5">
        <f t="shared" si="56"/>
        <v>1</v>
      </c>
      <c r="P367" s="12" t="s">
        <v>81</v>
      </c>
      <c r="Q367" s="7" t="s">
        <v>124</v>
      </c>
      <c r="R367" s="7" t="str">
        <f>INDEX('Brown tagset'!$B:$B,MATCH(IF(ISERROR(FIND("-",Q367)),IF(ISERROR(FIND("+",Q367)),Q367,LEFT(Q367,FIND("+",Q367)-1)),LEFT(Q367,FIND("-",Q367)-1)),'Brown tagset'!$A:$A,0))</f>
        <v>preposition</v>
      </c>
      <c r="S367" s="7"/>
      <c r="T367" s="7" t="str">
        <f>INDEX('Brown-Universal mapping'!$B:$B,MATCH(Q367,'Brown-Universal mapping'!$A:$A,0))</f>
        <v>ADP</v>
      </c>
      <c r="U367" s="7">
        <f t="shared" si="57"/>
        <v>1</v>
      </c>
      <c r="V367" s="7">
        <f t="shared" si="58"/>
        <v>1</v>
      </c>
      <c r="X367" s="12" t="s">
        <v>81</v>
      </c>
      <c r="Y367" s="7" t="s">
        <v>124</v>
      </c>
      <c r="Z367" s="7" t="str">
        <f>INDEX('Brown tagset'!$B:$B,MATCH(IF(ISERROR(FIND("-",Y367)),IF(ISERROR(FIND("+",Y367)),Y367,LEFT(Y367,FIND("+",Y367)-1)),LEFT(Y367,FIND("-",Y367)-1)),'Brown tagset'!$A:$A,0))</f>
        <v>preposition</v>
      </c>
      <c r="AA367" s="7"/>
      <c r="AB367" s="7" t="str">
        <f>INDEX('Brown-Universal mapping'!$B:$B,MATCH(Y367,'Brown-Universal mapping'!$A:$A,0))</f>
        <v>ADP</v>
      </c>
      <c r="AC367" s="7">
        <f t="shared" si="61"/>
        <v>1</v>
      </c>
      <c r="AD367" s="7">
        <f t="shared" si="62"/>
        <v>1</v>
      </c>
      <c r="AF367" s="9" t="s">
        <v>59</v>
      </c>
      <c r="AG367" s="9" t="str">
        <f>INDEX('Brown tagset'!$B:$B,MATCH(IF(ISERROR(FIND("-",AF367)),IF(ISERROR(FIND("+",AF367)),AF367,LEFT(AF367,FIND("+",AF367)-1)),LEFT(AF367,FIND("-",AF367)-1)),'Brown tagset'!$A:$A,0))</f>
        <v>preposition</v>
      </c>
      <c r="AH367" s="9" t="s">
        <v>60</v>
      </c>
      <c r="AI367" s="9" t="str">
        <f>INDEX('Brown-Universal mapping'!$B:$B,MATCH(AF367,'Brown-Universal mapping'!$A:$A,0))</f>
        <v>ADP</v>
      </c>
      <c r="AJ367" s="9">
        <f t="shared" si="59"/>
        <v>1</v>
      </c>
      <c r="AK367" s="9">
        <f t="shared" si="60"/>
        <v>1</v>
      </c>
      <c r="AM367" s="6">
        <f t="shared" si="63"/>
        <v>3</v>
      </c>
      <c r="AN367" s="6">
        <f t="shared" si="64"/>
        <v>3</v>
      </c>
      <c r="AP367" s="6" t="str">
        <f t="shared" si="65"/>
        <v>preposition3</v>
      </c>
    </row>
    <row r="368" spans="1:42" x14ac:dyDescent="0.25">
      <c r="A368" s="4" t="s">
        <v>286</v>
      </c>
      <c r="D368" s="3" t="s">
        <v>31</v>
      </c>
      <c r="E368" s="3" t="str">
        <f>INDEX('Brown tagset'!$B:$B,MATCH(IF(ISERROR(FIND("-",D368)),IF(ISERROR(FIND("+",D368)),D368,LEFT(D368,FIND("+",D368)-1)),LEFT(D368,FIND("-",D368)-1)),'Brown tagset'!$A:$A,0))</f>
        <v>plural noun</v>
      </c>
      <c r="F368" s="3"/>
      <c r="G368" s="3" t="str">
        <f>INDEX('Brown-Universal mapping'!$B:$B,MATCH(D368,'Brown-Universal mapping'!$A:$A,0))</f>
        <v>NOUN</v>
      </c>
      <c r="I368" s="5" t="s">
        <v>31</v>
      </c>
      <c r="J368" s="5" t="str">
        <f>INDEX('Brown tagset'!$B:$B,MATCH(IF(ISERROR(FIND("-",I368)),IF(ISERROR(FIND("+",I368)),I368,LEFT(I368,FIND("+",I368)-1)),LEFT(I368,FIND("-",I368)-1)),'Brown tagset'!$A:$A,0))</f>
        <v>plural noun</v>
      </c>
      <c r="K368" s="5" t="s">
        <v>13</v>
      </c>
      <c r="L368" s="5" t="str">
        <f>INDEX('Brown-Universal mapping'!$B:$B,MATCH(I368,'Brown-Universal mapping'!$A:$A,0))</f>
        <v>NOUN</v>
      </c>
      <c r="M368" s="5">
        <f t="shared" si="55"/>
        <v>1</v>
      </c>
      <c r="N368" s="5">
        <f t="shared" si="56"/>
        <v>1</v>
      </c>
      <c r="P368" s="12" t="s">
        <v>286</v>
      </c>
      <c r="Q368" s="7" t="s">
        <v>295</v>
      </c>
      <c r="R368" s="7" t="str">
        <f>INDEX('Brown tagset'!$B:$B,MATCH(IF(ISERROR(FIND("-",Q368)),IF(ISERROR(FIND("+",Q368)),Q368,LEFT(Q368,FIND("+",Q368)-1)),LEFT(Q368,FIND("-",Q368)-1)),'Brown tagset'!$A:$A,0))</f>
        <v>plural noun</v>
      </c>
      <c r="S368" s="7"/>
      <c r="T368" s="7" t="str">
        <f>INDEX('Brown-Universal mapping'!$B:$B,MATCH(Q368,'Brown-Universal mapping'!$A:$A,0))</f>
        <v>NOUN</v>
      </c>
      <c r="U368" s="7">
        <f t="shared" si="57"/>
        <v>1</v>
      </c>
      <c r="V368" s="7">
        <f t="shared" si="58"/>
        <v>1</v>
      </c>
      <c r="X368" s="12" t="s">
        <v>286</v>
      </c>
      <c r="Y368" s="7" t="s">
        <v>295</v>
      </c>
      <c r="Z368" s="7" t="str">
        <f>INDEX('Brown tagset'!$B:$B,MATCH(IF(ISERROR(FIND("-",Y368)),IF(ISERROR(FIND("+",Y368)),Y368,LEFT(Y368,FIND("+",Y368)-1)),LEFT(Y368,FIND("-",Y368)-1)),'Brown tagset'!$A:$A,0))</f>
        <v>plural noun</v>
      </c>
      <c r="AA368" s="7"/>
      <c r="AB368" s="7" t="str">
        <f>INDEX('Brown-Universal mapping'!$B:$B,MATCH(Y368,'Brown-Universal mapping'!$A:$A,0))</f>
        <v>NOUN</v>
      </c>
      <c r="AC368" s="7">
        <f t="shared" si="61"/>
        <v>1</v>
      </c>
      <c r="AD368" s="7">
        <f t="shared" si="62"/>
        <v>1</v>
      </c>
      <c r="AF368" s="9" t="s">
        <v>31</v>
      </c>
      <c r="AG368" s="9" t="str">
        <f>INDEX('Brown tagset'!$B:$B,MATCH(IF(ISERROR(FIND("-",AF368)),IF(ISERROR(FIND("+",AF368)),AF368,LEFT(AF368,FIND("+",AF368)-1)),LEFT(AF368,FIND("-",AF368)-1)),'Brown tagset'!$A:$A,0))</f>
        <v>plural noun</v>
      </c>
      <c r="AH368" s="9" t="s">
        <v>13</v>
      </c>
      <c r="AI368" s="9" t="str">
        <f>INDEX('Brown-Universal mapping'!$B:$B,MATCH(AF368,'Brown-Universal mapping'!$A:$A,0))</f>
        <v>NOUN</v>
      </c>
      <c r="AJ368" s="9">
        <f t="shared" si="59"/>
        <v>1</v>
      </c>
      <c r="AK368" s="9">
        <f t="shared" si="60"/>
        <v>1</v>
      </c>
      <c r="AM368" s="6">
        <f t="shared" si="63"/>
        <v>3</v>
      </c>
      <c r="AN368" s="6">
        <f t="shared" si="64"/>
        <v>3</v>
      </c>
      <c r="AP368" s="6" t="str">
        <f t="shared" si="65"/>
        <v>plural noun3</v>
      </c>
    </row>
    <row r="369" spans="1:42" x14ac:dyDescent="0.25">
      <c r="A369" s="4" t="s">
        <v>38</v>
      </c>
      <c r="D369" s="3" t="s">
        <v>38</v>
      </c>
      <c r="E369" s="3" t="str">
        <f>INDEX('Brown tagset'!$B:$B,MATCH(IF(ISERROR(FIND("-",D369)),IF(ISERROR(FIND("+",D369)),D369,LEFT(D369,FIND("+",D369)-1)),LEFT(D369,FIND("-",D369)-1)),'Brown tagset'!$A:$A,0))</f>
        <v>sentence (. ; ? *)</v>
      </c>
      <c r="F369" s="3"/>
      <c r="G369" s="3" t="str">
        <f>INDEX('Brown-Universal mapping'!$B:$B,MATCH(D369,'Brown-Universal mapping'!$A:$A,0))</f>
        <v>.</v>
      </c>
      <c r="I369" s="5" t="s">
        <v>38</v>
      </c>
      <c r="J369" s="5" t="str">
        <f>INDEX('Brown tagset'!$B:$B,MATCH(IF(ISERROR(FIND("-",I369)),IF(ISERROR(FIND("+",I369)),I369,LEFT(I369,FIND("+",I369)-1)),LEFT(I369,FIND("-",I369)-1)),'Brown tagset'!$A:$A,0))</f>
        <v>sentence (. ; ? *)</v>
      </c>
      <c r="K369" s="5" t="s">
        <v>38</v>
      </c>
      <c r="L369" s="5" t="str">
        <f>INDEX('Brown-Universal mapping'!$B:$B,MATCH(I369,'Brown-Universal mapping'!$A:$A,0))</f>
        <v>.</v>
      </c>
      <c r="M369" s="5">
        <f t="shared" si="55"/>
        <v>1</v>
      </c>
      <c r="N369" s="5">
        <f t="shared" si="56"/>
        <v>1</v>
      </c>
      <c r="P369" s="12" t="s">
        <v>38</v>
      </c>
      <c r="Q369" s="7" t="s">
        <v>38</v>
      </c>
      <c r="R369" s="7" t="str">
        <f>INDEX('Brown tagset'!$B:$B,MATCH(IF(ISERROR(FIND("-",Q369)),IF(ISERROR(FIND("+",Q369)),Q369,LEFT(Q369,FIND("+",Q369)-1)),LEFT(Q369,FIND("-",Q369)-1)),'Brown tagset'!$A:$A,0))</f>
        <v>sentence (. ; ? *)</v>
      </c>
      <c r="S369" s="7"/>
      <c r="T369" s="7" t="str">
        <f>INDEX('Brown-Universal mapping'!$B:$B,MATCH(Q369,'Brown-Universal mapping'!$A:$A,0))</f>
        <v>.</v>
      </c>
      <c r="U369" s="7">
        <f t="shared" si="57"/>
        <v>1</v>
      </c>
      <c r="V369" s="7">
        <f t="shared" si="58"/>
        <v>1</v>
      </c>
      <c r="X369" s="12" t="s">
        <v>38</v>
      </c>
      <c r="Y369" s="7" t="s">
        <v>38</v>
      </c>
      <c r="Z369" s="7" t="str">
        <f>INDEX('Brown tagset'!$B:$B,MATCH(IF(ISERROR(FIND("-",Y369)),IF(ISERROR(FIND("+",Y369)),Y369,LEFT(Y369,FIND("+",Y369)-1)),LEFT(Y369,FIND("-",Y369)-1)),'Brown tagset'!$A:$A,0))</f>
        <v>sentence (. ; ? *)</v>
      </c>
      <c r="AA369" s="7"/>
      <c r="AB369" s="7" t="str">
        <f>INDEX('Brown-Universal mapping'!$B:$B,MATCH(Y369,'Brown-Universal mapping'!$A:$A,0))</f>
        <v>.</v>
      </c>
      <c r="AC369" s="7">
        <f t="shared" si="61"/>
        <v>1</v>
      </c>
      <c r="AD369" s="7">
        <f t="shared" si="62"/>
        <v>1</v>
      </c>
      <c r="AF369" s="9" t="s">
        <v>38</v>
      </c>
      <c r="AG369" s="9" t="str">
        <f>INDEX('Brown tagset'!$B:$B,MATCH(IF(ISERROR(FIND("-",AF369)),IF(ISERROR(FIND("+",AF369)),AF369,LEFT(AF369,FIND("+",AF369)-1)),LEFT(AF369,FIND("-",AF369)-1)),'Brown tagset'!$A:$A,0))</f>
        <v>sentence (. ; ? *)</v>
      </c>
      <c r="AH369" s="9" t="s">
        <v>38</v>
      </c>
      <c r="AI369" s="9" t="str">
        <f>INDEX('Brown-Universal mapping'!$B:$B,MATCH(AF369,'Brown-Universal mapping'!$A:$A,0))</f>
        <v>.</v>
      </c>
      <c r="AJ369" s="9">
        <f t="shared" si="59"/>
        <v>1</v>
      </c>
      <c r="AK369" s="9">
        <f t="shared" si="60"/>
        <v>1</v>
      </c>
      <c r="AM369" s="6">
        <f t="shared" si="63"/>
        <v>3</v>
      </c>
      <c r="AN369" s="6">
        <f t="shared" si="64"/>
        <v>3</v>
      </c>
      <c r="AP369" s="6" t="str">
        <f t="shared" si="65"/>
        <v>sentence (. ; ? *)3</v>
      </c>
    </row>
    <row r="370" spans="1:42" x14ac:dyDescent="0.25">
      <c r="AP370" s="6" t="str">
        <f t="shared" si="65"/>
        <v/>
      </c>
    </row>
    <row r="371" spans="1:42" x14ac:dyDescent="0.25">
      <c r="P371" s="13"/>
      <c r="X371" s="13"/>
    </row>
  </sheetData>
  <autoFilter ref="A19:AP36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2"/>
  <sheetViews>
    <sheetView workbookViewId="0"/>
  </sheetViews>
  <sheetFormatPr defaultRowHeight="15" x14ac:dyDescent="0.25"/>
  <cols>
    <col min="1" max="1" width="11.5703125" customWidth="1"/>
  </cols>
  <sheetData>
    <row r="2" spans="1:2" ht="17.25" x14ac:dyDescent="0.3">
      <c r="A2" s="15" t="s">
        <v>879</v>
      </c>
      <c r="B2" s="16"/>
    </row>
    <row r="4" spans="1:2" x14ac:dyDescent="0.25">
      <c r="A4" t="s">
        <v>876</v>
      </c>
      <c r="B4" t="s">
        <v>877</v>
      </c>
    </row>
    <row r="5" spans="1:2" x14ac:dyDescent="0.25">
      <c r="A5" s="3" t="s">
        <v>49</v>
      </c>
      <c r="B5">
        <f>MATCH(A5,'Brown tagset'!A:A,0)</f>
        <v>96</v>
      </c>
    </row>
    <row r="6" spans="1:2" x14ac:dyDescent="0.25">
      <c r="A6" s="3" t="s">
        <v>152</v>
      </c>
      <c r="B6">
        <f>MATCH(A6,'Brown tagset'!A:A,0)</f>
        <v>9</v>
      </c>
    </row>
    <row r="7" spans="1:2" x14ac:dyDescent="0.25">
      <c r="A7" s="3" t="s">
        <v>80</v>
      </c>
      <c r="B7">
        <f>MATCH(A7,'Brown tagset'!A:A,0)</f>
        <v>6</v>
      </c>
    </row>
    <row r="8" spans="1:2" x14ac:dyDescent="0.25">
      <c r="A8" s="3" t="s">
        <v>92</v>
      </c>
      <c r="B8">
        <f>MATCH(A8,'Brown tagset'!A:A,0)</f>
        <v>7</v>
      </c>
    </row>
    <row r="9" spans="1:2" x14ac:dyDescent="0.25">
      <c r="A9" s="3" t="s">
        <v>62</v>
      </c>
      <c r="B9">
        <f>MATCH(A9,'Brown tagset'!A:A,0)</f>
        <v>10</v>
      </c>
    </row>
    <row r="10" spans="1:2" x14ac:dyDescent="0.25">
      <c r="A10" s="3" t="s">
        <v>38</v>
      </c>
      <c r="B10">
        <f>MATCH(A10,'Brown tagset'!A:A,0)</f>
        <v>5</v>
      </c>
    </row>
    <row r="11" spans="1:2" x14ac:dyDescent="0.25">
      <c r="A11" s="3" t="s">
        <v>37</v>
      </c>
      <c r="B11">
        <f>MATCH(A11,'Brown tagset'!A:A,0)</f>
        <v>97</v>
      </c>
    </row>
    <row r="12" spans="1:2" x14ac:dyDescent="0.25">
      <c r="A12" s="3" t="s">
        <v>41</v>
      </c>
      <c r="B12">
        <f>MATCH(A12,'Brown tagset'!A:A,0)</f>
        <v>13</v>
      </c>
    </row>
    <row r="13" spans="1:2" x14ac:dyDescent="0.25">
      <c r="A13" s="3" t="s">
        <v>103</v>
      </c>
      <c r="B13">
        <f>MATCH(A13,'Brown tagset'!A:A,0)</f>
        <v>15</v>
      </c>
    </row>
    <row r="14" spans="1:2" x14ac:dyDescent="0.25">
      <c r="A14" s="3" t="s">
        <v>7</v>
      </c>
      <c r="B14">
        <f>MATCH(A14,'Brown tagset'!A:A,0)</f>
        <v>16</v>
      </c>
    </row>
    <row r="15" spans="1:2" x14ac:dyDescent="0.25">
      <c r="A15" s="3" t="s">
        <v>270</v>
      </c>
      <c r="B15">
        <f>MATCH(A15,'Brown tagset'!A:A,0)</f>
        <v>19</v>
      </c>
    </row>
    <row r="16" spans="1:2" x14ac:dyDescent="0.25">
      <c r="A16" s="3" t="s">
        <v>135</v>
      </c>
      <c r="B16">
        <f>MATCH(A16,'Brown tagset'!A:A,0)</f>
        <v>22</v>
      </c>
    </row>
    <row r="17" spans="1:2" x14ac:dyDescent="0.25">
      <c r="A17" s="3" t="s">
        <v>146</v>
      </c>
      <c r="B17">
        <f>MATCH(A17,'Brown tagset'!A:A,0)</f>
        <v>24</v>
      </c>
    </row>
    <row r="18" spans="1:2" x14ac:dyDescent="0.25">
      <c r="A18" s="3" t="s">
        <v>26</v>
      </c>
      <c r="B18">
        <f>MATCH(A18,'Brown tagset'!A:A,0)</f>
        <v>25</v>
      </c>
    </row>
    <row r="19" spans="1:2" x14ac:dyDescent="0.25">
      <c r="A19" s="3" t="s">
        <v>129</v>
      </c>
      <c r="B19">
        <f>MATCH(A19,'Brown tagset'!A:A,0)</f>
        <v>26</v>
      </c>
    </row>
    <row r="20" spans="1:2" x14ac:dyDescent="0.25">
      <c r="A20" s="3" t="s">
        <v>29</v>
      </c>
      <c r="B20">
        <f>MATCH(A20,'Brown tagset'!A:A,0)</f>
        <v>27</v>
      </c>
    </row>
    <row r="21" spans="1:2" x14ac:dyDescent="0.25">
      <c r="A21" s="3" t="s">
        <v>20</v>
      </c>
      <c r="B21">
        <f>MATCH(A21,'Brown tagset'!A:A,0)</f>
        <v>28</v>
      </c>
    </row>
    <row r="22" spans="1:2" x14ac:dyDescent="0.25">
      <c r="A22" s="3" t="s">
        <v>33</v>
      </c>
      <c r="B22">
        <f>MATCH(A22,'Brown tagset'!A:A,0)</f>
        <v>28</v>
      </c>
    </row>
    <row r="23" spans="1:2" x14ac:dyDescent="0.25">
      <c r="A23" s="3" t="s">
        <v>139</v>
      </c>
      <c r="B23">
        <f>MATCH(A23,'Brown tagset'!A:A,0)</f>
        <v>31</v>
      </c>
    </row>
    <row r="24" spans="1:2" x14ac:dyDescent="0.25">
      <c r="A24" s="3" t="s">
        <v>222</v>
      </c>
      <c r="B24" t="e">
        <f>MATCH(A24,'Brown tagset'!A:A,0)</f>
        <v>#N/A</v>
      </c>
    </row>
    <row r="25" spans="1:2" x14ac:dyDescent="0.25">
      <c r="A25" s="3" t="s">
        <v>242</v>
      </c>
      <c r="B25">
        <f>MATCH(A25,'Brown tagset'!A:A,0)</f>
        <v>32</v>
      </c>
    </row>
    <row r="26" spans="1:2" x14ac:dyDescent="0.25">
      <c r="A26" s="3" t="s">
        <v>43</v>
      </c>
      <c r="B26">
        <f>MATCH(A26,'Brown tagset'!A:A,0)</f>
        <v>33</v>
      </c>
    </row>
    <row r="27" spans="1:2" x14ac:dyDescent="0.25">
      <c r="A27" s="3" t="s">
        <v>252</v>
      </c>
      <c r="B27" t="e">
        <f>MATCH(A27,'Brown tagset'!A:A,0)</f>
        <v>#N/A</v>
      </c>
    </row>
    <row r="28" spans="1:2" x14ac:dyDescent="0.25">
      <c r="A28" s="3" t="s">
        <v>192</v>
      </c>
      <c r="B28" t="e">
        <f>MATCH(A28,'Brown tagset'!A:A,0)</f>
        <v>#N/A</v>
      </c>
    </row>
    <row r="29" spans="1:2" x14ac:dyDescent="0.25">
      <c r="A29" s="3" t="s">
        <v>204</v>
      </c>
      <c r="B29" t="e">
        <f>MATCH(A29,'Brown tagset'!A:A,0)</f>
        <v>#N/A</v>
      </c>
    </row>
    <row r="30" spans="1:2" x14ac:dyDescent="0.25">
      <c r="A30" s="3" t="s">
        <v>194</v>
      </c>
      <c r="B30" t="e">
        <f>MATCH(A30,'Brown tagset'!A:A,0)</f>
        <v>#N/A</v>
      </c>
    </row>
    <row r="31" spans="1:2" x14ac:dyDescent="0.25">
      <c r="A31" s="3" t="s">
        <v>101</v>
      </c>
      <c r="B31">
        <f>MATCH(A31,'Brown tagset'!A:A,0)</f>
        <v>38</v>
      </c>
    </row>
    <row r="32" spans="1:2" x14ac:dyDescent="0.25">
      <c r="A32" s="3" t="s">
        <v>122</v>
      </c>
      <c r="B32">
        <f>MATCH(A32,'Brown tagset'!A:A,0)</f>
        <v>41</v>
      </c>
    </row>
    <row r="33" spans="1:2" x14ac:dyDescent="0.25">
      <c r="A33" s="3" t="s">
        <v>15</v>
      </c>
      <c r="B33">
        <f>MATCH(A33,'Brown tagset'!A:A,0)</f>
        <v>42</v>
      </c>
    </row>
    <row r="34" spans="1:2" x14ac:dyDescent="0.25">
      <c r="A34" s="3" t="s">
        <v>59</v>
      </c>
      <c r="B34">
        <f>MATCH(A34,'Brown tagset'!A:A,0)</f>
        <v>43</v>
      </c>
    </row>
    <row r="35" spans="1:2" x14ac:dyDescent="0.25">
      <c r="A35" s="3" t="s">
        <v>45</v>
      </c>
      <c r="B35">
        <f>MATCH(A35,'Brown tagset'!A:A,0)</f>
        <v>44</v>
      </c>
    </row>
    <row r="36" spans="1:2" x14ac:dyDescent="0.25">
      <c r="A36" s="3" t="s">
        <v>163</v>
      </c>
      <c r="B36">
        <f>MATCH(A36,'Brown tagset'!A:A,0)</f>
        <v>45</v>
      </c>
    </row>
    <row r="37" spans="1:2" x14ac:dyDescent="0.25">
      <c r="A37" s="3" t="s">
        <v>213</v>
      </c>
      <c r="B37">
        <f>MATCH(A37,'Brown tagset'!A:A,0)</f>
        <v>47</v>
      </c>
    </row>
    <row r="38" spans="1:2" x14ac:dyDescent="0.25">
      <c r="A38" s="3" t="s">
        <v>150</v>
      </c>
      <c r="B38" t="e">
        <f>MATCH(A38,'Brown tagset'!A:A,0)</f>
        <v>#N/A</v>
      </c>
    </row>
    <row r="39" spans="1:2" x14ac:dyDescent="0.25">
      <c r="A39" s="3" t="s">
        <v>186</v>
      </c>
      <c r="B39">
        <f>MATCH(A39,'Brown tagset'!A:A,0)</f>
        <v>48</v>
      </c>
    </row>
    <row r="40" spans="1:2" x14ac:dyDescent="0.25">
      <c r="A40" s="3" t="s">
        <v>12</v>
      </c>
      <c r="B40">
        <f>MATCH(A40,'Brown tagset'!A:A,0)</f>
        <v>50</v>
      </c>
    </row>
    <row r="41" spans="1:2" x14ac:dyDescent="0.25">
      <c r="A41" s="3" t="s">
        <v>96</v>
      </c>
      <c r="B41" t="e">
        <f>MATCH(A41,'Brown tagset'!A:A,0)</f>
        <v>#N/A</v>
      </c>
    </row>
    <row r="42" spans="1:2" x14ac:dyDescent="0.25">
      <c r="A42" s="3" t="s">
        <v>31</v>
      </c>
      <c r="B42">
        <f>MATCH(A42,'Brown tagset'!A:A,0)</f>
        <v>52</v>
      </c>
    </row>
    <row r="43" spans="1:2" x14ac:dyDescent="0.25">
      <c r="A43" s="3" t="s">
        <v>181</v>
      </c>
      <c r="B43" t="e">
        <f>MATCH(A43,'Brown tagset'!A:A,0)</f>
        <v>#N/A</v>
      </c>
    </row>
    <row r="44" spans="1:2" x14ac:dyDescent="0.25">
      <c r="A44" s="3" t="s">
        <v>66</v>
      </c>
      <c r="B44">
        <f>MATCH(A44,'Brown tagset'!A:A,0)</f>
        <v>54</v>
      </c>
    </row>
    <row r="45" spans="1:2" x14ac:dyDescent="0.25">
      <c r="A45" s="3" t="s">
        <v>229</v>
      </c>
      <c r="B45" t="e">
        <f>MATCH(A45,'Brown tagset'!A:A,0)</f>
        <v>#N/A</v>
      </c>
    </row>
    <row r="46" spans="1:2" x14ac:dyDescent="0.25">
      <c r="A46" s="3" t="s">
        <v>88</v>
      </c>
      <c r="B46">
        <f>MATCH(A46,'Brown tagset'!A:A,0)</f>
        <v>61</v>
      </c>
    </row>
    <row r="47" spans="1:2" x14ac:dyDescent="0.25">
      <c r="A47" s="3" t="s">
        <v>22</v>
      </c>
      <c r="B47">
        <f>MATCH(A47,'Brown tagset'!A:A,0)</f>
        <v>63</v>
      </c>
    </row>
    <row r="48" spans="1:2" x14ac:dyDescent="0.25">
      <c r="A48" s="3" t="s">
        <v>113</v>
      </c>
      <c r="B48">
        <f>MATCH(A48,'Brown tagset'!A:A,0)</f>
        <v>67</v>
      </c>
    </row>
    <row r="49" spans="1:2" x14ac:dyDescent="0.25">
      <c r="A49" s="3" t="s">
        <v>86</v>
      </c>
      <c r="B49">
        <f>MATCH(A49,'Brown tagset'!A:A,0)</f>
        <v>68</v>
      </c>
    </row>
    <row r="50" spans="1:2" x14ac:dyDescent="0.25">
      <c r="A50" s="3" t="s">
        <v>108</v>
      </c>
      <c r="B50" t="e">
        <f>MATCH(A50,'Brown tagset'!A:A,0)</f>
        <v>#N/A</v>
      </c>
    </row>
    <row r="51" spans="1:2" x14ac:dyDescent="0.25">
      <c r="A51" s="3" t="s">
        <v>171</v>
      </c>
      <c r="B51">
        <f>MATCH(A51,'Brown tagset'!A:A,0)</f>
        <v>69</v>
      </c>
    </row>
    <row r="52" spans="1:2" x14ac:dyDescent="0.25">
      <c r="A52" s="3" t="s">
        <v>51</v>
      </c>
      <c r="B52" t="e">
        <f>MATCH(A52,'Brown tagset'!A:A,0)</f>
        <v>#N/A</v>
      </c>
    </row>
    <row r="53" spans="1:2" x14ac:dyDescent="0.25">
      <c r="A53" s="3" t="s">
        <v>1</v>
      </c>
      <c r="B53">
        <f>MATCH(A53,'Brown tagset'!A:A,0)</f>
        <v>70</v>
      </c>
    </row>
    <row r="54" spans="1:2" x14ac:dyDescent="0.25">
      <c r="A54" s="3" t="s">
        <v>279</v>
      </c>
      <c r="B54" t="e">
        <f>MATCH(A54,'Brown tagset'!A:A,0)</f>
        <v>#N/A</v>
      </c>
    </row>
    <row r="55" spans="1:2" x14ac:dyDescent="0.25">
      <c r="A55" s="3" t="s">
        <v>4</v>
      </c>
      <c r="B55">
        <f>MATCH(A55,'Brown tagset'!A:A,0)</f>
        <v>72</v>
      </c>
    </row>
    <row r="56" spans="1:2" x14ac:dyDescent="0.25">
      <c r="A56" s="3" t="s">
        <v>189</v>
      </c>
      <c r="B56">
        <f>MATCH(A56,'Brown tagset'!A:A,0)</f>
        <v>73</v>
      </c>
    </row>
    <row r="57" spans="1:2" x14ac:dyDescent="0.25">
      <c r="A57" s="3" t="s">
        <v>212</v>
      </c>
      <c r="B57">
        <f>MATCH(A57,'Brown tagset'!A:A,0)</f>
        <v>74</v>
      </c>
    </row>
    <row r="58" spans="1:2" x14ac:dyDescent="0.25">
      <c r="A58" s="3" t="s">
        <v>161</v>
      </c>
      <c r="B58">
        <f>MATCH(A58,'Brown tagset'!A:A,0)</f>
        <v>76</v>
      </c>
    </row>
    <row r="59" spans="1:2" x14ac:dyDescent="0.25">
      <c r="A59" s="3" t="s">
        <v>17</v>
      </c>
      <c r="B59">
        <f>MATCH(A59,'Brown tagset'!A:A,0)</f>
        <v>78</v>
      </c>
    </row>
    <row r="60" spans="1:2" x14ac:dyDescent="0.25">
      <c r="A60" s="3" t="s">
        <v>65</v>
      </c>
      <c r="B60">
        <f>MATCH(A60,'Brown tagset'!A:A,0)</f>
        <v>79</v>
      </c>
    </row>
    <row r="61" spans="1:2" x14ac:dyDescent="0.25">
      <c r="A61" s="3" t="s">
        <v>35</v>
      </c>
      <c r="B61">
        <f>MATCH(A61,'Brown tagset'!A:A,0)</f>
        <v>80</v>
      </c>
    </row>
    <row r="62" spans="1:2" x14ac:dyDescent="0.25">
      <c r="A62" s="3" t="s">
        <v>68</v>
      </c>
      <c r="B62" t="e">
        <f>MATCH(A62,'Brown tagset'!A:A,0)</f>
        <v>#N/A</v>
      </c>
    </row>
    <row r="63" spans="1:2" x14ac:dyDescent="0.25">
      <c r="A63" s="3" t="s">
        <v>174</v>
      </c>
      <c r="B63">
        <f>MATCH(A63,'Brown tagset'!A:A,0)</f>
        <v>81</v>
      </c>
    </row>
    <row r="64" spans="1:2" x14ac:dyDescent="0.25">
      <c r="A64" s="3" t="s">
        <v>9</v>
      </c>
      <c r="B64">
        <f>MATCH(A64,'Brown tagset'!A:A,0)</f>
        <v>82</v>
      </c>
    </row>
    <row r="65" spans="1:2" x14ac:dyDescent="0.25">
      <c r="A65" s="3" t="s">
        <v>76</v>
      </c>
      <c r="B65" t="e">
        <f>MATCH(A65,'Brown tagset'!A:A,0)</f>
        <v>#N/A</v>
      </c>
    </row>
    <row r="66" spans="1:2" x14ac:dyDescent="0.25">
      <c r="A66" s="3" t="s">
        <v>127</v>
      </c>
      <c r="B66">
        <f>MATCH(A66,'Brown tagset'!A:A,0)</f>
        <v>83</v>
      </c>
    </row>
    <row r="67" spans="1:2" x14ac:dyDescent="0.25">
      <c r="A67" s="3" t="s">
        <v>99</v>
      </c>
      <c r="B67" t="e">
        <f>MATCH(A67,'Brown tagset'!A:A,0)</f>
        <v>#N/A</v>
      </c>
    </row>
    <row r="68" spans="1:2" x14ac:dyDescent="0.25">
      <c r="A68" s="3" t="s">
        <v>196</v>
      </c>
      <c r="B68">
        <f>MATCH(A68,'Brown tagset'!A:A,0)</f>
        <v>85</v>
      </c>
    </row>
    <row r="69" spans="1:2" x14ac:dyDescent="0.25">
      <c r="A69" s="3" t="s">
        <v>83</v>
      </c>
      <c r="B69">
        <f>MATCH(A69,'Brown tagset'!A:A,0)</f>
        <v>86</v>
      </c>
    </row>
    <row r="70" spans="1:2" x14ac:dyDescent="0.25">
      <c r="A70" s="3" t="s">
        <v>74</v>
      </c>
      <c r="B70" t="e">
        <f>MATCH(A70,'Brown tagset'!A:A,0)</f>
        <v>#N/A</v>
      </c>
    </row>
    <row r="71" spans="1:2" x14ac:dyDescent="0.25">
      <c r="A71" s="3" t="s">
        <v>259</v>
      </c>
      <c r="B71">
        <f>MATCH(A71,'Brown tagset'!A:A,0)</f>
        <v>87</v>
      </c>
    </row>
    <row r="72" spans="1:2" x14ac:dyDescent="0.25">
      <c r="A72" s="3" t="s">
        <v>119</v>
      </c>
      <c r="B72">
        <f>MATCH(A72,'Brown tagset'!A:A,0)</f>
        <v>89</v>
      </c>
    </row>
  </sheetData>
  <sortState ref="A2:A69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1"/>
  <sheetViews>
    <sheetView tabSelected="1" topLeftCell="A67" workbookViewId="0">
      <selection activeCell="B77" sqref="B77"/>
    </sheetView>
  </sheetViews>
  <sheetFormatPr defaultRowHeight="15" x14ac:dyDescent="0.25"/>
  <cols>
    <col min="2" max="2" width="66" customWidth="1"/>
  </cols>
  <sheetData>
    <row r="2" spans="1:3" ht="17.25" x14ac:dyDescent="0.3">
      <c r="A2" s="15" t="s">
        <v>841</v>
      </c>
      <c r="B2" s="16"/>
    </row>
    <row r="4" spans="1:3" x14ac:dyDescent="0.25">
      <c r="A4" s="2" t="s">
        <v>462</v>
      </c>
      <c r="B4" s="2" t="s">
        <v>463</v>
      </c>
      <c r="C4" t="s">
        <v>878</v>
      </c>
    </row>
    <row r="5" spans="1:3" x14ac:dyDescent="0.25">
      <c r="A5" t="s">
        <v>38</v>
      </c>
      <c r="B5" t="s">
        <v>343</v>
      </c>
      <c r="C5">
        <f>MATCH(A5,'gold tagset'!A:A,0)</f>
        <v>10</v>
      </c>
    </row>
    <row r="6" spans="1:3" x14ac:dyDescent="0.25">
      <c r="A6" t="s">
        <v>80</v>
      </c>
      <c r="B6" t="s">
        <v>344</v>
      </c>
      <c r="C6">
        <f>MATCH(A6,'gold tagset'!A:A,0)</f>
        <v>7</v>
      </c>
    </row>
    <row r="7" spans="1:3" x14ac:dyDescent="0.25">
      <c r="A7" t="s">
        <v>92</v>
      </c>
      <c r="B7" t="s">
        <v>345</v>
      </c>
      <c r="C7">
        <f>MATCH(A7,'gold tagset'!A:A,0)</f>
        <v>8</v>
      </c>
    </row>
    <row r="8" spans="1:3" x14ac:dyDescent="0.25">
      <c r="A8" t="s">
        <v>346</v>
      </c>
      <c r="B8" t="s">
        <v>347</v>
      </c>
      <c r="C8">
        <f>MATCH(A8,'gold tagset'!A:A,0)</f>
        <v>2</v>
      </c>
    </row>
    <row r="9" spans="1:3" x14ac:dyDescent="0.25">
      <c r="A9" t="s">
        <v>152</v>
      </c>
      <c r="B9" t="s">
        <v>348</v>
      </c>
      <c r="C9">
        <f>MATCH(A9,'gold tagset'!A:A,0)</f>
        <v>6</v>
      </c>
    </row>
    <row r="10" spans="1:3" x14ac:dyDescent="0.25">
      <c r="A10" t="s">
        <v>62</v>
      </c>
      <c r="B10" t="s">
        <v>349</v>
      </c>
      <c r="C10">
        <f>MATCH(A10,'gold tagset'!A:A,0)</f>
        <v>9</v>
      </c>
    </row>
    <row r="11" spans="1:3" x14ac:dyDescent="0.25">
      <c r="A11" t="s">
        <v>350</v>
      </c>
      <c r="B11" t="s">
        <v>351</v>
      </c>
      <c r="C11" t="e">
        <f>MATCH(A11,'gold tagset'!A:A,0)</f>
        <v>#N/A</v>
      </c>
    </row>
    <row r="12" spans="1:3" x14ac:dyDescent="0.25">
      <c r="A12" t="s">
        <v>352</v>
      </c>
      <c r="B12" t="s">
        <v>353</v>
      </c>
      <c r="C12" t="e">
        <f>MATCH(A12,'gold tagset'!A:A,0)</f>
        <v>#N/A</v>
      </c>
    </row>
    <row r="13" spans="1:3" x14ac:dyDescent="0.25">
      <c r="A13" t="s">
        <v>41</v>
      </c>
      <c r="B13" t="s">
        <v>354</v>
      </c>
      <c r="C13">
        <f>MATCH(A13,'gold tagset'!A:A,0)</f>
        <v>12</v>
      </c>
    </row>
    <row r="14" spans="1:3" x14ac:dyDescent="0.25">
      <c r="A14" t="s">
        <v>355</v>
      </c>
      <c r="B14" t="s">
        <v>356</v>
      </c>
      <c r="C14" t="e">
        <f>MATCH(A14,'gold tagset'!A:A,0)</f>
        <v>#N/A</v>
      </c>
    </row>
    <row r="15" spans="1:3" x14ac:dyDescent="0.25">
      <c r="A15" t="s">
        <v>103</v>
      </c>
      <c r="B15" t="s">
        <v>357</v>
      </c>
      <c r="C15">
        <f>MATCH(A15,'gold tagset'!A:A,0)</f>
        <v>13</v>
      </c>
    </row>
    <row r="16" spans="1:3" x14ac:dyDescent="0.25">
      <c r="A16" t="s">
        <v>7</v>
      </c>
      <c r="B16" t="s">
        <v>358</v>
      </c>
      <c r="C16">
        <f>MATCH(A16,'gold tagset'!A:A,0)</f>
        <v>14</v>
      </c>
    </row>
    <row r="17" spans="1:3" x14ac:dyDescent="0.25">
      <c r="A17" t="s">
        <v>359</v>
      </c>
      <c r="B17" t="s">
        <v>360</v>
      </c>
      <c r="C17" t="e">
        <f>MATCH(A17,'gold tagset'!A:A,0)</f>
        <v>#N/A</v>
      </c>
    </row>
    <row r="18" spans="1:3" x14ac:dyDescent="0.25">
      <c r="A18" t="s">
        <v>361</v>
      </c>
      <c r="B18" t="s">
        <v>362</v>
      </c>
      <c r="C18" t="e">
        <f>MATCH(A18,'gold tagset'!A:A,0)</f>
        <v>#N/A</v>
      </c>
    </row>
    <row r="19" spans="1:3" x14ac:dyDescent="0.25">
      <c r="A19" t="s">
        <v>270</v>
      </c>
      <c r="B19" t="s">
        <v>269</v>
      </c>
      <c r="C19">
        <f>MATCH(A19,'gold tagset'!A:A,0)</f>
        <v>15</v>
      </c>
    </row>
    <row r="20" spans="1:3" x14ac:dyDescent="0.25">
      <c r="A20" t="s">
        <v>363</v>
      </c>
      <c r="B20" t="s">
        <v>364</v>
      </c>
      <c r="C20" t="e">
        <f>MATCH(A20,'gold tagset'!A:A,0)</f>
        <v>#N/A</v>
      </c>
    </row>
    <row r="21" spans="1:3" x14ac:dyDescent="0.25">
      <c r="A21" t="s">
        <v>365</v>
      </c>
      <c r="B21" t="s">
        <v>366</v>
      </c>
      <c r="C21" t="e">
        <f>MATCH(A21,'gold tagset'!A:A,0)</f>
        <v>#N/A</v>
      </c>
    </row>
    <row r="22" spans="1:3" x14ac:dyDescent="0.25">
      <c r="A22" t="s">
        <v>135</v>
      </c>
      <c r="B22" t="s">
        <v>134</v>
      </c>
      <c r="C22">
        <f>MATCH(A22,'gold tagset'!A:A,0)</f>
        <v>16</v>
      </c>
    </row>
    <row r="23" spans="1:3" x14ac:dyDescent="0.25">
      <c r="A23" t="s">
        <v>367</v>
      </c>
      <c r="B23" t="s">
        <v>368</v>
      </c>
      <c r="C23" t="e">
        <f>MATCH(A23,'gold tagset'!A:A,0)</f>
        <v>#N/A</v>
      </c>
    </row>
    <row r="24" spans="1:3" x14ac:dyDescent="0.25">
      <c r="A24" t="s">
        <v>146</v>
      </c>
      <c r="B24" t="s">
        <v>145</v>
      </c>
      <c r="C24">
        <f>MATCH(A24,'gold tagset'!A:A,0)</f>
        <v>17</v>
      </c>
    </row>
    <row r="25" spans="1:3" x14ac:dyDescent="0.25">
      <c r="A25" t="s">
        <v>26</v>
      </c>
      <c r="B25" t="s">
        <v>369</v>
      </c>
      <c r="C25">
        <f>MATCH(A25,'gold tagset'!A:A,0)</f>
        <v>18</v>
      </c>
    </row>
    <row r="26" spans="1:3" x14ac:dyDescent="0.25">
      <c r="A26" t="s">
        <v>129</v>
      </c>
      <c r="B26" t="s">
        <v>370</v>
      </c>
      <c r="C26">
        <f>MATCH(A26,'gold tagset'!A:A,0)</f>
        <v>19</v>
      </c>
    </row>
    <row r="27" spans="1:3" x14ac:dyDescent="0.25">
      <c r="A27" t="s">
        <v>29</v>
      </c>
      <c r="B27" t="s">
        <v>371</v>
      </c>
      <c r="C27">
        <f>MATCH(A27,'gold tagset'!A:A,0)</f>
        <v>20</v>
      </c>
    </row>
    <row r="28" spans="1:3" x14ac:dyDescent="0.25">
      <c r="A28" t="s">
        <v>20</v>
      </c>
      <c r="B28" t="s">
        <v>19</v>
      </c>
      <c r="C28">
        <f>MATCH(A28,'gold tagset'!A:A,0)</f>
        <v>21</v>
      </c>
    </row>
    <row r="29" spans="1:3" x14ac:dyDescent="0.25">
      <c r="A29" t="s">
        <v>372</v>
      </c>
      <c r="B29" t="s">
        <v>373</v>
      </c>
      <c r="C29" t="e">
        <f>MATCH(A29,'gold tagset'!A:A,0)</f>
        <v>#N/A</v>
      </c>
    </row>
    <row r="30" spans="1:3" x14ac:dyDescent="0.25">
      <c r="A30" t="s">
        <v>374</v>
      </c>
      <c r="B30" t="s">
        <v>375</v>
      </c>
      <c r="C30" t="e">
        <f>MATCH(A30,'gold tagset'!A:A,0)</f>
        <v>#N/A</v>
      </c>
    </row>
    <row r="31" spans="1:3" x14ac:dyDescent="0.25">
      <c r="A31" t="s">
        <v>139</v>
      </c>
      <c r="B31" t="s">
        <v>376</v>
      </c>
      <c r="C31">
        <f>MATCH(A31,'gold tagset'!A:A,0)</f>
        <v>23</v>
      </c>
    </row>
    <row r="32" spans="1:3" x14ac:dyDescent="0.25">
      <c r="A32" t="s">
        <v>242</v>
      </c>
      <c r="B32" t="s">
        <v>377</v>
      </c>
      <c r="C32">
        <f>MATCH(A32,'gold tagset'!A:A,0)</f>
        <v>25</v>
      </c>
    </row>
    <row r="33" spans="1:3" x14ac:dyDescent="0.25">
      <c r="A33" t="s">
        <v>43</v>
      </c>
      <c r="B33" t="s">
        <v>378</v>
      </c>
      <c r="C33">
        <f>MATCH(A33,'gold tagset'!A:A,0)</f>
        <v>26</v>
      </c>
    </row>
    <row r="34" spans="1:3" x14ac:dyDescent="0.25">
      <c r="A34" t="s">
        <v>379</v>
      </c>
      <c r="B34" t="s">
        <v>380</v>
      </c>
      <c r="C34" t="e">
        <f>MATCH(A34,'gold tagset'!A:A,0)</f>
        <v>#N/A</v>
      </c>
    </row>
    <row r="35" spans="1:3" x14ac:dyDescent="0.25">
      <c r="A35" t="s">
        <v>381</v>
      </c>
      <c r="B35" t="s">
        <v>382</v>
      </c>
      <c r="C35" t="e">
        <f>MATCH(A35,'gold tagset'!A:A,0)</f>
        <v>#N/A</v>
      </c>
    </row>
    <row r="36" spans="1:3" x14ac:dyDescent="0.25">
      <c r="A36" t="s">
        <v>383</v>
      </c>
      <c r="B36" t="s">
        <v>384</v>
      </c>
      <c r="C36" t="e">
        <f>MATCH(A36,'gold tagset'!A:A,0)</f>
        <v>#N/A</v>
      </c>
    </row>
    <row r="37" spans="1:3" x14ac:dyDescent="0.25">
      <c r="A37" t="s">
        <v>385</v>
      </c>
      <c r="B37" t="s">
        <v>386</v>
      </c>
      <c r="C37" t="e">
        <f>MATCH(A37,'gold tagset'!A:A,0)</f>
        <v>#N/A</v>
      </c>
    </row>
    <row r="38" spans="1:3" x14ac:dyDescent="0.25">
      <c r="A38" t="s">
        <v>101</v>
      </c>
      <c r="B38" t="s">
        <v>100</v>
      </c>
      <c r="C38">
        <f>MATCH(A38,'gold tagset'!A:A,0)</f>
        <v>31</v>
      </c>
    </row>
    <row r="39" spans="1:3" x14ac:dyDescent="0.25">
      <c r="A39" t="s">
        <v>387</v>
      </c>
      <c r="B39" t="s">
        <v>388</v>
      </c>
      <c r="C39" t="e">
        <f>MATCH(A39,'gold tagset'!A:A,0)</f>
        <v>#N/A</v>
      </c>
    </row>
    <row r="40" spans="1:3" x14ac:dyDescent="0.25">
      <c r="A40" t="s">
        <v>389</v>
      </c>
      <c r="B40" t="s">
        <v>390</v>
      </c>
      <c r="C40" t="e">
        <f>MATCH(A40,'gold tagset'!A:A,0)</f>
        <v>#N/A</v>
      </c>
    </row>
    <row r="41" spans="1:3" x14ac:dyDescent="0.25">
      <c r="A41" t="s">
        <v>122</v>
      </c>
      <c r="B41" t="s">
        <v>391</v>
      </c>
      <c r="C41">
        <f>MATCH(A41,'gold tagset'!A:A,0)</f>
        <v>32</v>
      </c>
    </row>
    <row r="42" spans="1:3" x14ac:dyDescent="0.25">
      <c r="A42" t="s">
        <v>15</v>
      </c>
      <c r="B42" t="s">
        <v>14</v>
      </c>
      <c r="C42">
        <f>MATCH(A42,'gold tagset'!A:A,0)</f>
        <v>33</v>
      </c>
    </row>
    <row r="43" spans="1:3" x14ac:dyDescent="0.25">
      <c r="A43" t="s">
        <v>59</v>
      </c>
      <c r="B43" t="s">
        <v>392</v>
      </c>
      <c r="C43">
        <f>MATCH(A43,'gold tagset'!A:A,0)</f>
        <v>34</v>
      </c>
    </row>
    <row r="44" spans="1:3" x14ac:dyDescent="0.25">
      <c r="A44" t="s">
        <v>45</v>
      </c>
      <c r="B44" t="s">
        <v>393</v>
      </c>
      <c r="C44">
        <f>MATCH(A44,'gold tagset'!A:A,0)</f>
        <v>35</v>
      </c>
    </row>
    <row r="45" spans="1:3" x14ac:dyDescent="0.25">
      <c r="A45" t="s">
        <v>163</v>
      </c>
      <c r="B45" t="s">
        <v>394</v>
      </c>
      <c r="C45">
        <f>MATCH(A45,'gold tagset'!A:A,0)</f>
        <v>36</v>
      </c>
    </row>
    <row r="46" spans="1:3" x14ac:dyDescent="0.25">
      <c r="A46" t="s">
        <v>395</v>
      </c>
      <c r="B46" t="s">
        <v>396</v>
      </c>
      <c r="C46" t="e">
        <f>MATCH(A46,'gold tagset'!A:A,0)</f>
        <v>#N/A</v>
      </c>
    </row>
    <row r="47" spans="1:3" x14ac:dyDescent="0.25">
      <c r="A47" t="s">
        <v>213</v>
      </c>
      <c r="B47" t="s">
        <v>397</v>
      </c>
      <c r="C47">
        <f>MATCH(A47,'gold tagset'!A:A,0)</f>
        <v>37</v>
      </c>
    </row>
    <row r="48" spans="1:3" x14ac:dyDescent="0.25">
      <c r="A48" t="s">
        <v>398</v>
      </c>
      <c r="B48" t="s">
        <v>399</v>
      </c>
      <c r="C48" t="e">
        <f>MATCH(A48,'gold tagset'!A:A,0)</f>
        <v>#N/A</v>
      </c>
    </row>
    <row r="49" spans="1:3" x14ac:dyDescent="0.25">
      <c r="A49" t="s">
        <v>400</v>
      </c>
      <c r="B49" t="s">
        <v>401</v>
      </c>
      <c r="C49" t="e">
        <f>MATCH(A49,'gold tagset'!A:A,0)</f>
        <v>#N/A</v>
      </c>
    </row>
    <row r="50" spans="1:3" x14ac:dyDescent="0.25">
      <c r="A50" t="s">
        <v>12</v>
      </c>
      <c r="B50" t="s">
        <v>402</v>
      </c>
      <c r="C50">
        <f>MATCH(A50,'gold tagset'!A:A,0)</f>
        <v>40</v>
      </c>
    </row>
    <row r="51" spans="1:3" x14ac:dyDescent="0.25">
      <c r="A51" t="s">
        <v>97</v>
      </c>
      <c r="B51" t="s">
        <v>403</v>
      </c>
      <c r="C51" t="e">
        <f>MATCH(A51,'gold tagset'!A:A,0)</f>
        <v>#N/A</v>
      </c>
    </row>
    <row r="52" spans="1:3" x14ac:dyDescent="0.25">
      <c r="A52" t="s">
        <v>31</v>
      </c>
      <c r="B52" t="s">
        <v>404</v>
      </c>
      <c r="C52">
        <f>MATCH(A52,'gold tagset'!A:A,0)</f>
        <v>42</v>
      </c>
    </row>
    <row r="53" spans="1:3" x14ac:dyDescent="0.25">
      <c r="A53" t="s">
        <v>405</v>
      </c>
      <c r="B53" t="s">
        <v>406</v>
      </c>
      <c r="C53" t="e">
        <f>MATCH(A53,'gold tagset'!A:A,0)</f>
        <v>#N/A</v>
      </c>
    </row>
    <row r="54" spans="1:3" x14ac:dyDescent="0.25">
      <c r="A54" t="s">
        <v>66</v>
      </c>
      <c r="B54" t="s">
        <v>407</v>
      </c>
      <c r="C54">
        <f>MATCH(A54,'gold tagset'!A:A,0)</f>
        <v>44</v>
      </c>
    </row>
    <row r="55" spans="1:3" x14ac:dyDescent="0.25">
      <c r="A55" t="s">
        <v>408</v>
      </c>
      <c r="B55" t="s">
        <v>409</v>
      </c>
      <c r="C55" t="e">
        <f>MATCH(A55,'gold tagset'!A:A,0)</f>
        <v>#N/A</v>
      </c>
    </row>
    <row r="56" spans="1:3" x14ac:dyDescent="0.25">
      <c r="A56" t="s">
        <v>410</v>
      </c>
      <c r="B56" t="s">
        <v>411</v>
      </c>
      <c r="C56" t="e">
        <f>MATCH(A56,'gold tagset'!A:A,0)</f>
        <v>#N/A</v>
      </c>
    </row>
    <row r="57" spans="1:3" x14ac:dyDescent="0.25">
      <c r="A57" t="s">
        <v>412</v>
      </c>
      <c r="B57" t="s">
        <v>413</v>
      </c>
      <c r="C57" t="e">
        <f>MATCH(A57,'gold tagset'!A:A,0)</f>
        <v>#N/A</v>
      </c>
    </row>
    <row r="58" spans="1:3" x14ac:dyDescent="0.25">
      <c r="A58" t="s">
        <v>414</v>
      </c>
      <c r="B58" t="s">
        <v>415</v>
      </c>
      <c r="C58" t="e">
        <f>MATCH(A58,'gold tagset'!A:A,0)</f>
        <v>#N/A</v>
      </c>
    </row>
    <row r="59" spans="1:3" x14ac:dyDescent="0.25">
      <c r="A59" t="s">
        <v>416</v>
      </c>
      <c r="B59" t="s">
        <v>417</v>
      </c>
      <c r="C59" t="e">
        <f>MATCH(A59,'gold tagset'!A:A,0)</f>
        <v>#N/A</v>
      </c>
    </row>
    <row r="60" spans="1:3" x14ac:dyDescent="0.25">
      <c r="A60" t="s">
        <v>418</v>
      </c>
      <c r="B60" t="s">
        <v>419</v>
      </c>
      <c r="C60" t="e">
        <f>MATCH(A60,'gold tagset'!A:A,0)</f>
        <v>#N/A</v>
      </c>
    </row>
    <row r="61" spans="1:3" x14ac:dyDescent="0.25">
      <c r="A61" t="s">
        <v>88</v>
      </c>
      <c r="B61" t="s">
        <v>420</v>
      </c>
      <c r="C61">
        <f>MATCH(A61,'gold tagset'!A:A,0)</f>
        <v>46</v>
      </c>
    </row>
    <row r="62" spans="1:3" x14ac:dyDescent="0.25">
      <c r="A62" t="s">
        <v>421</v>
      </c>
      <c r="B62" t="s">
        <v>422</v>
      </c>
      <c r="C62" t="e">
        <f>MATCH(A62,'gold tagset'!A:A,0)</f>
        <v>#N/A</v>
      </c>
    </row>
    <row r="63" spans="1:3" x14ac:dyDescent="0.25">
      <c r="A63" t="s">
        <v>22</v>
      </c>
      <c r="B63" t="s">
        <v>423</v>
      </c>
      <c r="C63">
        <f>MATCH(A63,'gold tagset'!A:A,0)</f>
        <v>47</v>
      </c>
    </row>
    <row r="64" spans="1:3" x14ac:dyDescent="0.25">
      <c r="A64" t="s">
        <v>424</v>
      </c>
      <c r="B64" t="s">
        <v>425</v>
      </c>
      <c r="C64" t="e">
        <f>MATCH(A64,'gold tagset'!A:A,0)</f>
        <v>#N/A</v>
      </c>
    </row>
    <row r="65" spans="1:3" x14ac:dyDescent="0.25">
      <c r="A65" t="s">
        <v>426</v>
      </c>
      <c r="B65" t="s">
        <v>427</v>
      </c>
      <c r="C65" t="e">
        <f>MATCH(A65,'gold tagset'!A:A,0)</f>
        <v>#N/A</v>
      </c>
    </row>
    <row r="66" spans="1:3" x14ac:dyDescent="0.25">
      <c r="A66" t="s">
        <v>428</v>
      </c>
      <c r="B66" t="s">
        <v>429</v>
      </c>
      <c r="C66" t="e">
        <f>MATCH(A66,'gold tagset'!A:A,0)</f>
        <v>#N/A</v>
      </c>
    </row>
    <row r="67" spans="1:3" x14ac:dyDescent="0.25">
      <c r="A67" t="s">
        <v>113</v>
      </c>
      <c r="B67" t="s">
        <v>430</v>
      </c>
      <c r="C67">
        <f>MATCH(A67,'gold tagset'!A:A,0)</f>
        <v>48</v>
      </c>
    </row>
    <row r="68" spans="1:3" x14ac:dyDescent="0.25">
      <c r="A68" t="s">
        <v>86</v>
      </c>
      <c r="B68" t="s">
        <v>431</v>
      </c>
      <c r="C68">
        <f>MATCH(A68,'gold tagset'!A:A,0)</f>
        <v>49</v>
      </c>
    </row>
    <row r="69" spans="1:3" x14ac:dyDescent="0.25">
      <c r="A69" t="s">
        <v>171</v>
      </c>
      <c r="B69" t="s">
        <v>432</v>
      </c>
      <c r="C69">
        <f>MATCH(A69,'gold tagset'!A:A,0)</f>
        <v>51</v>
      </c>
    </row>
    <row r="70" spans="1:3" x14ac:dyDescent="0.25">
      <c r="A70" t="s">
        <v>1</v>
      </c>
      <c r="B70" t="s">
        <v>433</v>
      </c>
      <c r="C70">
        <f>MATCH(A70,'gold tagset'!A:A,0)</f>
        <v>53</v>
      </c>
    </row>
    <row r="71" spans="1:3" x14ac:dyDescent="0.25">
      <c r="A71" t="s">
        <v>434</v>
      </c>
      <c r="B71" t="s">
        <v>435</v>
      </c>
      <c r="C71" t="e">
        <f>MATCH(A71,'gold tagset'!A:A,0)</f>
        <v>#N/A</v>
      </c>
    </row>
    <row r="72" spans="1:3" x14ac:dyDescent="0.25">
      <c r="A72" t="s">
        <v>4</v>
      </c>
      <c r="B72" t="s">
        <v>436</v>
      </c>
      <c r="C72">
        <f>MATCH(A72,'gold tagset'!A:A,0)</f>
        <v>55</v>
      </c>
    </row>
    <row r="73" spans="1:3" x14ac:dyDescent="0.25">
      <c r="A73" t="s">
        <v>189</v>
      </c>
      <c r="B73" t="s">
        <v>437</v>
      </c>
      <c r="C73">
        <f>MATCH(A73,'gold tagset'!A:A,0)</f>
        <v>56</v>
      </c>
    </row>
    <row r="74" spans="1:3" x14ac:dyDescent="0.25">
      <c r="A74" t="s">
        <v>212</v>
      </c>
      <c r="B74" t="s">
        <v>438</v>
      </c>
      <c r="C74">
        <f>MATCH(A74,'gold tagset'!A:A,0)</f>
        <v>57</v>
      </c>
    </row>
    <row r="75" spans="1:3" x14ac:dyDescent="0.25">
      <c r="A75" t="s">
        <v>439</v>
      </c>
      <c r="B75" t="s">
        <v>440</v>
      </c>
      <c r="C75" t="e">
        <f>MATCH(A75,'gold tagset'!A:A,0)</f>
        <v>#N/A</v>
      </c>
    </row>
    <row r="76" spans="1:3" x14ac:dyDescent="0.25">
      <c r="A76" t="s">
        <v>161</v>
      </c>
      <c r="B76" t="s">
        <v>441</v>
      </c>
      <c r="C76">
        <f>MATCH(A76,'gold tagset'!A:A,0)</f>
        <v>58</v>
      </c>
    </row>
    <row r="77" spans="1:3" x14ac:dyDescent="0.25">
      <c r="A77" t="s">
        <v>442</v>
      </c>
      <c r="B77" t="s">
        <v>443</v>
      </c>
      <c r="C77" t="e">
        <f>MATCH(A77,'gold tagset'!A:A,0)</f>
        <v>#N/A</v>
      </c>
    </row>
    <row r="78" spans="1:3" x14ac:dyDescent="0.25">
      <c r="A78" t="s">
        <v>17</v>
      </c>
      <c r="B78" t="s">
        <v>444</v>
      </c>
      <c r="C78">
        <f>MATCH(A78,'gold tagset'!A:A,0)</f>
        <v>59</v>
      </c>
    </row>
    <row r="79" spans="1:3" x14ac:dyDescent="0.25">
      <c r="A79" t="s">
        <v>65</v>
      </c>
      <c r="B79" t="s">
        <v>445</v>
      </c>
      <c r="C79">
        <f>MATCH(A79,'gold tagset'!A:A,0)</f>
        <v>60</v>
      </c>
    </row>
    <row r="80" spans="1:3" x14ac:dyDescent="0.25">
      <c r="A80" t="s">
        <v>35</v>
      </c>
      <c r="B80" t="s">
        <v>446</v>
      </c>
      <c r="C80">
        <f>MATCH(A80,'gold tagset'!A:A,0)</f>
        <v>61</v>
      </c>
    </row>
    <row r="81" spans="1:3" x14ac:dyDescent="0.25">
      <c r="A81" t="s">
        <v>174</v>
      </c>
      <c r="B81" t="s">
        <v>447</v>
      </c>
      <c r="C81">
        <f>MATCH(A81,'gold tagset'!A:A,0)</f>
        <v>63</v>
      </c>
    </row>
    <row r="82" spans="1:3" x14ac:dyDescent="0.25">
      <c r="A82" t="s">
        <v>9</v>
      </c>
      <c r="B82" t="s">
        <v>448</v>
      </c>
      <c r="C82">
        <f>MATCH(A82,'gold tagset'!A:A,0)</f>
        <v>64</v>
      </c>
    </row>
    <row r="83" spans="1:3" x14ac:dyDescent="0.25">
      <c r="A83" t="s">
        <v>127</v>
      </c>
      <c r="B83" t="s">
        <v>449</v>
      </c>
      <c r="C83">
        <f>MATCH(A83,'gold tagset'!A:A,0)</f>
        <v>66</v>
      </c>
    </row>
    <row r="84" spans="1:3" x14ac:dyDescent="0.25">
      <c r="A84" t="s">
        <v>450</v>
      </c>
      <c r="B84" t="s">
        <v>451</v>
      </c>
      <c r="C84" t="e">
        <f>MATCH(A84,'gold tagset'!A:A,0)</f>
        <v>#N/A</v>
      </c>
    </row>
    <row r="85" spans="1:3" x14ac:dyDescent="0.25">
      <c r="A85" t="s">
        <v>196</v>
      </c>
      <c r="B85" t="s">
        <v>452</v>
      </c>
      <c r="C85">
        <f>MATCH(A85,'gold tagset'!A:A,0)</f>
        <v>68</v>
      </c>
    </row>
    <row r="86" spans="1:3" x14ac:dyDescent="0.25">
      <c r="A86" t="s">
        <v>83</v>
      </c>
      <c r="B86" t="s">
        <v>453</v>
      </c>
      <c r="C86">
        <f>MATCH(A86,'gold tagset'!A:A,0)</f>
        <v>69</v>
      </c>
    </row>
    <row r="87" spans="1:3" x14ac:dyDescent="0.25">
      <c r="A87" t="s">
        <v>259</v>
      </c>
      <c r="B87" t="s">
        <v>454</v>
      </c>
      <c r="C87">
        <f>MATCH(A87,'gold tagset'!A:A,0)</f>
        <v>71</v>
      </c>
    </row>
    <row r="88" spans="1:3" x14ac:dyDescent="0.25">
      <c r="A88" t="s">
        <v>455</v>
      </c>
      <c r="B88" t="s">
        <v>456</v>
      </c>
      <c r="C88" t="e">
        <f>MATCH(A88,'gold tagset'!A:A,0)</f>
        <v>#N/A</v>
      </c>
    </row>
    <row r="89" spans="1:3" x14ac:dyDescent="0.25">
      <c r="A89" t="s">
        <v>119</v>
      </c>
      <c r="B89" t="s">
        <v>457</v>
      </c>
      <c r="C89">
        <f>MATCH(A89,'gold tagset'!A:A,0)</f>
        <v>72</v>
      </c>
    </row>
    <row r="90" spans="1:3" x14ac:dyDescent="0.25">
      <c r="A90" t="s">
        <v>458</v>
      </c>
      <c r="B90" t="s">
        <v>459</v>
      </c>
      <c r="C90" t="e">
        <f>MATCH(A90,'gold tagset'!A:A,0)</f>
        <v>#N/A</v>
      </c>
    </row>
    <row r="91" spans="1:3" x14ac:dyDescent="0.25">
      <c r="A91" t="s">
        <v>460</v>
      </c>
      <c r="B91" t="s">
        <v>461</v>
      </c>
      <c r="C91" t="e">
        <f>MATCH(A91,'gold tagset'!A:A,0)</f>
        <v>#N/A</v>
      </c>
    </row>
    <row r="94" spans="1:3" ht="17.25" x14ac:dyDescent="0.3">
      <c r="A94" s="15" t="s">
        <v>848</v>
      </c>
      <c r="B94" s="16"/>
    </row>
    <row r="96" spans="1:3" x14ac:dyDescent="0.25">
      <c r="A96" t="s">
        <v>49</v>
      </c>
      <c r="B96" t="s">
        <v>842</v>
      </c>
    </row>
    <row r="97" spans="1:2" x14ac:dyDescent="0.25">
      <c r="A97" t="s">
        <v>37</v>
      </c>
      <c r="B97" s="17" t="s">
        <v>843</v>
      </c>
    </row>
    <row r="100" spans="1:2" ht="17.25" x14ac:dyDescent="0.3">
      <c r="A100" s="15" t="s">
        <v>849</v>
      </c>
    </row>
    <row r="101" spans="1:2" x14ac:dyDescent="0.25">
      <c r="A101" t="s">
        <v>340</v>
      </c>
      <c r="B101" t="s">
        <v>850</v>
      </c>
    </row>
  </sheetData>
  <autoFilter ref="A4:C9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9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/>
    </row>
    <row r="2" spans="1:2" x14ac:dyDescent="0.25">
      <c r="A2" s="1" t="s">
        <v>46</v>
      </c>
      <c r="B2" t="s">
        <v>883</v>
      </c>
    </row>
    <row r="3" spans="1:2" x14ac:dyDescent="0.25">
      <c r="A3" s="1" t="s">
        <v>60</v>
      </c>
      <c r="B3" t="s">
        <v>884</v>
      </c>
    </row>
    <row r="4" spans="1:2" x14ac:dyDescent="0.25">
      <c r="A4" s="1" t="s">
        <v>5</v>
      </c>
      <c r="B4" t="s">
        <v>885</v>
      </c>
    </row>
    <row r="5" spans="1:2" x14ac:dyDescent="0.25">
      <c r="A5" s="1" t="s">
        <v>886</v>
      </c>
      <c r="B5" t="s">
        <v>887</v>
      </c>
    </row>
    <row r="6" spans="1:2" x14ac:dyDescent="0.25">
      <c r="A6" s="1" t="s">
        <v>888</v>
      </c>
      <c r="B6" t="s">
        <v>889</v>
      </c>
    </row>
    <row r="7" spans="1:2" x14ac:dyDescent="0.25">
      <c r="A7" s="1" t="s">
        <v>84</v>
      </c>
      <c r="B7" t="s">
        <v>890</v>
      </c>
    </row>
    <row r="8" spans="1:2" x14ac:dyDescent="0.25">
      <c r="A8" s="1" t="s">
        <v>891</v>
      </c>
      <c r="B8" t="s">
        <v>892</v>
      </c>
    </row>
    <row r="9" spans="1:2" x14ac:dyDescent="0.25">
      <c r="A9" s="1" t="s">
        <v>13</v>
      </c>
      <c r="B9" t="s">
        <v>893</v>
      </c>
    </row>
    <row r="10" spans="1:2" x14ac:dyDescent="0.25">
      <c r="A10" s="1" t="s">
        <v>130</v>
      </c>
      <c r="B10" t="s">
        <v>894</v>
      </c>
    </row>
    <row r="11" spans="1:2" x14ac:dyDescent="0.25">
      <c r="A11" s="1" t="s">
        <v>895</v>
      </c>
      <c r="B11" t="s">
        <v>896</v>
      </c>
    </row>
    <row r="12" spans="1:2" x14ac:dyDescent="0.25">
      <c r="A12" s="1" t="s">
        <v>260</v>
      </c>
      <c r="B12" t="s">
        <v>897</v>
      </c>
    </row>
    <row r="13" spans="1:2" x14ac:dyDescent="0.25">
      <c r="A13" s="1" t="s">
        <v>898</v>
      </c>
      <c r="B13" t="s">
        <v>899</v>
      </c>
    </row>
    <row r="14" spans="1:2" x14ac:dyDescent="0.25">
      <c r="A14" s="1" t="s">
        <v>900</v>
      </c>
      <c r="B14" t="s">
        <v>901</v>
      </c>
    </row>
    <row r="15" spans="1:2" x14ac:dyDescent="0.25">
      <c r="A15" s="1" t="s">
        <v>902</v>
      </c>
      <c r="B15" t="s">
        <v>903</v>
      </c>
    </row>
    <row r="16" spans="1:2" x14ac:dyDescent="0.25">
      <c r="A16" s="1" t="s">
        <v>904</v>
      </c>
      <c r="B16" t="s">
        <v>905</v>
      </c>
    </row>
    <row r="17" spans="1:2" x14ac:dyDescent="0.25">
      <c r="A17" s="1" t="s">
        <v>10</v>
      </c>
      <c r="B17" t="s">
        <v>906</v>
      </c>
    </row>
    <row r="18" spans="1:2" x14ac:dyDescent="0.25">
      <c r="A18" s="1" t="s">
        <v>2</v>
      </c>
      <c r="B18" t="s">
        <v>907</v>
      </c>
    </row>
    <row r="19" spans="1:2" x14ac:dyDescent="0.25">
      <c r="A19" s="1"/>
    </row>
    <row r="20" spans="1:2" x14ac:dyDescent="0.25">
      <c r="A20" s="1"/>
    </row>
    <row r="21" spans="1:2" x14ac:dyDescent="0.25">
      <c r="A21" s="1"/>
    </row>
    <row r="22" spans="1:2" x14ac:dyDescent="0.25">
      <c r="A22" s="1"/>
    </row>
    <row r="23" spans="1:2" x14ac:dyDescent="0.25">
      <c r="A23" s="1"/>
    </row>
    <row r="24" spans="1:2" x14ac:dyDescent="0.25">
      <c r="A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32" spans="1: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480"/>
  <sheetViews>
    <sheetView topLeftCell="A460" workbookViewId="0">
      <selection activeCell="H478" sqref="H478"/>
    </sheetView>
  </sheetViews>
  <sheetFormatPr defaultRowHeight="15" x14ac:dyDescent="0.25"/>
  <cols>
    <col min="1" max="1" width="14.85546875" customWidth="1"/>
  </cols>
  <sheetData>
    <row r="1" spans="1:2" x14ac:dyDescent="0.25">
      <c r="A1" s="10" t="s">
        <v>838</v>
      </c>
    </row>
    <row r="2" spans="1:2" x14ac:dyDescent="0.25">
      <c r="A2" s="11" t="s">
        <v>839</v>
      </c>
    </row>
    <row r="3" spans="1:2" x14ac:dyDescent="0.25">
      <c r="A3" s="11"/>
    </row>
    <row r="4" spans="1:2" x14ac:dyDescent="0.25">
      <c r="A4" s="11"/>
    </row>
    <row r="5" spans="1:2" ht="15.75" customHeight="1" x14ac:dyDescent="0.25">
      <c r="A5" s="2" t="s">
        <v>833</v>
      </c>
      <c r="B5" s="2" t="s">
        <v>834</v>
      </c>
    </row>
    <row r="6" spans="1:2" hidden="1" x14ac:dyDescent="0.25">
      <c r="A6" s="1" t="s">
        <v>466</v>
      </c>
      <c r="B6" s="1" t="s">
        <v>38</v>
      </c>
    </row>
    <row r="7" spans="1:2" hidden="1" x14ac:dyDescent="0.25">
      <c r="A7" s="1" t="s">
        <v>49</v>
      </c>
      <c r="B7" s="1" t="s">
        <v>38</v>
      </c>
    </row>
    <row r="8" spans="1:2" hidden="1" x14ac:dyDescent="0.25">
      <c r="A8" s="1" t="s">
        <v>80</v>
      </c>
      <c r="B8" s="1" t="s">
        <v>38</v>
      </c>
    </row>
    <row r="9" spans="1:2" hidden="1" x14ac:dyDescent="0.25">
      <c r="A9" s="1" t="s">
        <v>467</v>
      </c>
      <c r="B9" s="1" t="s">
        <v>38</v>
      </c>
    </row>
    <row r="10" spans="1:2" hidden="1" x14ac:dyDescent="0.25">
      <c r="A10" s="1" t="s">
        <v>92</v>
      </c>
      <c r="B10" s="1" t="s">
        <v>38</v>
      </c>
    </row>
    <row r="11" spans="1:2" hidden="1" x14ac:dyDescent="0.25">
      <c r="A11" s="1" t="s">
        <v>468</v>
      </c>
      <c r="B11" s="1" t="s">
        <v>38</v>
      </c>
    </row>
    <row r="12" spans="1:2" x14ac:dyDescent="0.25">
      <c r="A12" s="1" t="s">
        <v>346</v>
      </c>
      <c r="B12" s="1" t="s">
        <v>5</v>
      </c>
    </row>
    <row r="13" spans="1:2" x14ac:dyDescent="0.25">
      <c r="A13" s="1" t="s">
        <v>469</v>
      </c>
      <c r="B13" s="1" t="s">
        <v>5</v>
      </c>
    </row>
    <row r="14" spans="1:2" x14ac:dyDescent="0.25">
      <c r="A14" s="1" t="s">
        <v>470</v>
      </c>
      <c r="B14" s="1" t="s">
        <v>5</v>
      </c>
    </row>
    <row r="15" spans="1:2" x14ac:dyDescent="0.25">
      <c r="A15" s="1" t="s">
        <v>471</v>
      </c>
      <c r="B15" s="1" t="s">
        <v>5</v>
      </c>
    </row>
    <row r="16" spans="1:2" hidden="1" x14ac:dyDescent="0.25">
      <c r="A16" s="1" t="s">
        <v>62</v>
      </c>
      <c r="B16" s="1" t="s">
        <v>38</v>
      </c>
    </row>
    <row r="17" spans="1:2" hidden="1" x14ac:dyDescent="0.25">
      <c r="A17" s="1" t="s">
        <v>472</v>
      </c>
      <c r="B17" s="1" t="s">
        <v>38</v>
      </c>
    </row>
    <row r="18" spans="1:2" hidden="1" x14ac:dyDescent="0.25">
      <c r="A18" s="1" t="s">
        <v>473</v>
      </c>
      <c r="B18" s="1" t="s">
        <v>38</v>
      </c>
    </row>
    <row r="19" spans="1:2" hidden="1" x14ac:dyDescent="0.25">
      <c r="A19" s="1" t="s">
        <v>474</v>
      </c>
      <c r="B19" s="1" t="s">
        <v>38</v>
      </c>
    </row>
    <row r="20" spans="1:2" hidden="1" x14ac:dyDescent="0.25">
      <c r="A20" s="1" t="s">
        <v>152</v>
      </c>
      <c r="B20" s="1" t="s">
        <v>38</v>
      </c>
    </row>
    <row r="21" spans="1:2" hidden="1" x14ac:dyDescent="0.25">
      <c r="A21" s="1" t="s">
        <v>475</v>
      </c>
      <c r="B21" s="1" t="s">
        <v>38</v>
      </c>
    </row>
    <row r="22" spans="1:2" hidden="1" x14ac:dyDescent="0.25">
      <c r="A22" s="1" t="s">
        <v>38</v>
      </c>
      <c r="B22" s="1" t="s">
        <v>38</v>
      </c>
    </row>
    <row r="23" spans="1:2" hidden="1" x14ac:dyDescent="0.25">
      <c r="A23" s="1" t="s">
        <v>476</v>
      </c>
      <c r="B23" s="1" t="s">
        <v>38</v>
      </c>
    </row>
    <row r="24" spans="1:2" hidden="1" x14ac:dyDescent="0.25">
      <c r="A24" s="1" t="s">
        <v>477</v>
      </c>
      <c r="B24" s="1" t="s">
        <v>38</v>
      </c>
    </row>
    <row r="25" spans="1:2" hidden="1" x14ac:dyDescent="0.25">
      <c r="A25" s="1" t="s">
        <v>478</v>
      </c>
      <c r="B25" s="1" t="s">
        <v>38</v>
      </c>
    </row>
    <row r="26" spans="1:2" hidden="1" x14ac:dyDescent="0.25">
      <c r="A26" s="1" t="s">
        <v>350</v>
      </c>
      <c r="B26" s="1" t="s">
        <v>38</v>
      </c>
    </row>
    <row r="27" spans="1:2" hidden="1" x14ac:dyDescent="0.25">
      <c r="A27" s="1" t="s">
        <v>479</v>
      </c>
      <c r="B27" s="1" t="s">
        <v>38</v>
      </c>
    </row>
    <row r="28" spans="1:2" hidden="1" x14ac:dyDescent="0.25">
      <c r="A28" s="1" t="s">
        <v>480</v>
      </c>
      <c r="B28" s="1" t="s">
        <v>38</v>
      </c>
    </row>
    <row r="29" spans="1:2" hidden="1" x14ac:dyDescent="0.25">
      <c r="A29" s="1" t="s">
        <v>352</v>
      </c>
      <c r="B29" s="1" t="s">
        <v>18</v>
      </c>
    </row>
    <row r="30" spans="1:2" hidden="1" x14ac:dyDescent="0.25">
      <c r="A30" s="1" t="s">
        <v>41</v>
      </c>
      <c r="B30" s="1" t="s">
        <v>18</v>
      </c>
    </row>
    <row r="31" spans="1:2" hidden="1" x14ac:dyDescent="0.25">
      <c r="A31" s="1" t="s">
        <v>481</v>
      </c>
      <c r="B31" s="1" t="s">
        <v>18</v>
      </c>
    </row>
    <row r="32" spans="1:2" hidden="1" x14ac:dyDescent="0.25">
      <c r="A32" s="1" t="s">
        <v>482</v>
      </c>
      <c r="B32" s="1" t="s">
        <v>18</v>
      </c>
    </row>
    <row r="33" spans="1:2" hidden="1" x14ac:dyDescent="0.25">
      <c r="A33" s="1" t="s">
        <v>483</v>
      </c>
      <c r="B33" s="1" t="s">
        <v>18</v>
      </c>
    </row>
    <row r="34" spans="1:2" hidden="1" x14ac:dyDescent="0.25">
      <c r="A34" s="1" t="s">
        <v>355</v>
      </c>
      <c r="B34" s="1" t="s">
        <v>84</v>
      </c>
    </row>
    <row r="35" spans="1:2" x14ac:dyDescent="0.25">
      <c r="A35" s="1" t="s">
        <v>103</v>
      </c>
      <c r="B35" s="1" t="s">
        <v>46</v>
      </c>
    </row>
    <row r="36" spans="1:2" hidden="1" x14ac:dyDescent="0.25">
      <c r="A36" s="1" t="s">
        <v>484</v>
      </c>
      <c r="B36" s="1" t="s">
        <v>18</v>
      </c>
    </row>
    <row r="37" spans="1:2" x14ac:dyDescent="0.25">
      <c r="A37" s="1" t="s">
        <v>485</v>
      </c>
      <c r="B37" s="1" t="s">
        <v>46</v>
      </c>
    </row>
    <row r="38" spans="1:2" x14ac:dyDescent="0.25">
      <c r="A38" s="1" t="s">
        <v>486</v>
      </c>
      <c r="B38" s="1" t="s">
        <v>46</v>
      </c>
    </row>
    <row r="39" spans="1:2" x14ac:dyDescent="0.25">
      <c r="A39" s="1" t="s">
        <v>487</v>
      </c>
      <c r="B39" s="1" t="s">
        <v>46</v>
      </c>
    </row>
    <row r="40" spans="1:2" x14ac:dyDescent="0.25">
      <c r="A40" s="1" t="s">
        <v>488</v>
      </c>
      <c r="B40" s="1" t="s">
        <v>46</v>
      </c>
    </row>
    <row r="41" spans="1:2" hidden="1" x14ac:dyDescent="0.25">
      <c r="A41" s="1" t="s">
        <v>7</v>
      </c>
      <c r="B41" s="1" t="s">
        <v>84</v>
      </c>
    </row>
    <row r="42" spans="1:2" hidden="1" x14ac:dyDescent="0.25">
      <c r="A42" s="1" t="s">
        <v>489</v>
      </c>
      <c r="B42" s="1" t="s">
        <v>84</v>
      </c>
    </row>
    <row r="43" spans="1:2" hidden="1" x14ac:dyDescent="0.25">
      <c r="A43" s="1" t="s">
        <v>490</v>
      </c>
      <c r="B43" s="1" t="s">
        <v>84</v>
      </c>
    </row>
    <row r="44" spans="1:2" hidden="1" x14ac:dyDescent="0.25">
      <c r="A44" s="1" t="s">
        <v>491</v>
      </c>
      <c r="B44" s="1" t="s">
        <v>84</v>
      </c>
    </row>
    <row r="45" spans="1:2" hidden="1" x14ac:dyDescent="0.25">
      <c r="A45" s="1" t="s">
        <v>492</v>
      </c>
      <c r="B45" s="1" t="s">
        <v>84</v>
      </c>
    </row>
    <row r="46" spans="1:2" hidden="1" x14ac:dyDescent="0.25">
      <c r="A46" s="1" t="s">
        <v>359</v>
      </c>
      <c r="B46" s="1" t="s">
        <v>10</v>
      </c>
    </row>
    <row r="47" spans="1:2" hidden="1" x14ac:dyDescent="0.25">
      <c r="A47" s="1" t="s">
        <v>493</v>
      </c>
      <c r="B47" s="1" t="s">
        <v>10</v>
      </c>
    </row>
    <row r="48" spans="1:2" hidden="1" x14ac:dyDescent="0.25">
      <c r="A48" s="1" t="s">
        <v>494</v>
      </c>
      <c r="B48" s="1" t="s">
        <v>10</v>
      </c>
    </row>
    <row r="49" spans="1:2" hidden="1" x14ac:dyDescent="0.25">
      <c r="A49" s="1" t="s">
        <v>361</v>
      </c>
      <c r="B49" s="1" t="s">
        <v>10</v>
      </c>
    </row>
    <row r="50" spans="1:2" hidden="1" x14ac:dyDescent="0.25">
      <c r="A50" s="1" t="s">
        <v>495</v>
      </c>
      <c r="B50" s="1" t="s">
        <v>10</v>
      </c>
    </row>
    <row r="51" spans="1:2" hidden="1" x14ac:dyDescent="0.25">
      <c r="A51" s="1" t="s">
        <v>496</v>
      </c>
      <c r="B51" s="1" t="s">
        <v>10</v>
      </c>
    </row>
    <row r="52" spans="1:2" hidden="1" x14ac:dyDescent="0.25">
      <c r="A52" s="1" t="s">
        <v>270</v>
      </c>
      <c r="B52" s="1" t="s">
        <v>10</v>
      </c>
    </row>
    <row r="53" spans="1:2" hidden="1" x14ac:dyDescent="0.25">
      <c r="A53" s="1" t="s">
        <v>497</v>
      </c>
      <c r="B53" s="1" t="s">
        <v>10</v>
      </c>
    </row>
    <row r="54" spans="1:2" hidden="1" x14ac:dyDescent="0.25">
      <c r="A54" s="1" t="s">
        <v>498</v>
      </c>
      <c r="B54" s="1" t="s">
        <v>10</v>
      </c>
    </row>
    <row r="55" spans="1:2" hidden="1" x14ac:dyDescent="0.25">
      <c r="A55" s="1" t="s">
        <v>499</v>
      </c>
      <c r="B55" s="1" t="s">
        <v>10</v>
      </c>
    </row>
    <row r="56" spans="1:2" hidden="1" x14ac:dyDescent="0.25">
      <c r="A56" s="1" t="s">
        <v>363</v>
      </c>
      <c r="B56" s="1" t="s">
        <v>10</v>
      </c>
    </row>
    <row r="57" spans="1:2" hidden="1" x14ac:dyDescent="0.25">
      <c r="A57" s="1" t="s">
        <v>365</v>
      </c>
      <c r="B57" s="1" t="s">
        <v>10</v>
      </c>
    </row>
    <row r="58" spans="1:2" hidden="1" x14ac:dyDescent="0.25">
      <c r="A58" s="1" t="s">
        <v>500</v>
      </c>
      <c r="B58" s="1" t="s">
        <v>10</v>
      </c>
    </row>
    <row r="59" spans="1:2" hidden="1" x14ac:dyDescent="0.25">
      <c r="A59" s="1" t="s">
        <v>501</v>
      </c>
      <c r="B59" s="1" t="s">
        <v>10</v>
      </c>
    </row>
    <row r="60" spans="1:2" hidden="1" x14ac:dyDescent="0.25">
      <c r="A60" s="1" t="s">
        <v>135</v>
      </c>
      <c r="B60" s="1" t="s">
        <v>10</v>
      </c>
    </row>
    <row r="61" spans="1:2" hidden="1" x14ac:dyDescent="0.25">
      <c r="A61" s="1" t="s">
        <v>502</v>
      </c>
      <c r="B61" s="1" t="s">
        <v>10</v>
      </c>
    </row>
    <row r="62" spans="1:2" hidden="1" x14ac:dyDescent="0.25">
      <c r="A62" s="1" t="s">
        <v>367</v>
      </c>
      <c r="B62" s="1" t="s">
        <v>10</v>
      </c>
    </row>
    <row r="63" spans="1:2" hidden="1" x14ac:dyDescent="0.25">
      <c r="A63" s="1" t="s">
        <v>503</v>
      </c>
      <c r="B63" s="1" t="s">
        <v>10</v>
      </c>
    </row>
    <row r="64" spans="1:2" hidden="1" x14ac:dyDescent="0.25">
      <c r="A64" s="1" t="s">
        <v>504</v>
      </c>
      <c r="B64" s="1" t="s">
        <v>10</v>
      </c>
    </row>
    <row r="65" spans="1:2" hidden="1" x14ac:dyDescent="0.25">
      <c r="A65" s="1" t="s">
        <v>505</v>
      </c>
      <c r="B65" s="1" t="s">
        <v>10</v>
      </c>
    </row>
    <row r="66" spans="1:2" hidden="1" x14ac:dyDescent="0.25">
      <c r="A66" s="1" t="s">
        <v>506</v>
      </c>
      <c r="B66" s="1" t="s">
        <v>10</v>
      </c>
    </row>
    <row r="67" spans="1:2" hidden="1" x14ac:dyDescent="0.25">
      <c r="A67" s="1" t="s">
        <v>507</v>
      </c>
      <c r="B67" s="1" t="s">
        <v>10</v>
      </c>
    </row>
    <row r="68" spans="1:2" hidden="1" x14ac:dyDescent="0.25">
      <c r="A68" s="1" t="s">
        <v>146</v>
      </c>
      <c r="B68" s="1" t="s">
        <v>10</v>
      </c>
    </row>
    <row r="69" spans="1:2" hidden="1" x14ac:dyDescent="0.25">
      <c r="A69" s="1" t="s">
        <v>508</v>
      </c>
      <c r="B69" s="1" t="s">
        <v>10</v>
      </c>
    </row>
    <row r="70" spans="1:2" hidden="1" x14ac:dyDescent="0.25">
      <c r="A70" s="1" t="s">
        <v>509</v>
      </c>
      <c r="B70" s="1" t="s">
        <v>10</v>
      </c>
    </row>
    <row r="71" spans="1:2" hidden="1" x14ac:dyDescent="0.25">
      <c r="A71" s="1" t="s">
        <v>510</v>
      </c>
      <c r="B71" s="1" t="s">
        <v>10</v>
      </c>
    </row>
    <row r="72" spans="1:2" hidden="1" x14ac:dyDescent="0.25">
      <c r="A72" s="1" t="s">
        <v>511</v>
      </c>
      <c r="B72" s="1" t="s">
        <v>10</v>
      </c>
    </row>
    <row r="73" spans="1:2" hidden="1" x14ac:dyDescent="0.25">
      <c r="A73" s="1" t="s">
        <v>26</v>
      </c>
      <c r="B73" s="1" t="s">
        <v>27</v>
      </c>
    </row>
    <row r="74" spans="1:2" hidden="1" x14ac:dyDescent="0.25">
      <c r="A74" s="1" t="s">
        <v>512</v>
      </c>
      <c r="B74" s="1" t="s">
        <v>27</v>
      </c>
    </row>
    <row r="75" spans="1:2" hidden="1" x14ac:dyDescent="0.25">
      <c r="A75" s="1" t="s">
        <v>513</v>
      </c>
      <c r="B75" s="1" t="s">
        <v>27</v>
      </c>
    </row>
    <row r="76" spans="1:2" hidden="1" x14ac:dyDescent="0.25">
      <c r="A76" s="1" t="s">
        <v>514</v>
      </c>
      <c r="B76" s="1" t="s">
        <v>27</v>
      </c>
    </row>
    <row r="77" spans="1:2" hidden="1" x14ac:dyDescent="0.25">
      <c r="A77" s="1" t="s">
        <v>515</v>
      </c>
      <c r="B77" s="1" t="s">
        <v>27</v>
      </c>
    </row>
    <row r="78" spans="1:2" hidden="1" x14ac:dyDescent="0.25">
      <c r="A78" s="1" t="s">
        <v>129</v>
      </c>
      <c r="B78" s="1" t="s">
        <v>130</v>
      </c>
    </row>
    <row r="79" spans="1:2" hidden="1" x14ac:dyDescent="0.25">
      <c r="A79" s="1" t="s">
        <v>516</v>
      </c>
      <c r="B79" s="1" t="s">
        <v>13</v>
      </c>
    </row>
    <row r="80" spans="1:2" hidden="1" x14ac:dyDescent="0.25">
      <c r="A80" s="1" t="s">
        <v>517</v>
      </c>
      <c r="B80" s="1" t="s">
        <v>130</v>
      </c>
    </row>
    <row r="81" spans="1:2" hidden="1" x14ac:dyDescent="0.25">
      <c r="A81" s="1" t="s">
        <v>518</v>
      </c>
      <c r="B81" s="1" t="s">
        <v>130</v>
      </c>
    </row>
    <row r="82" spans="1:2" hidden="1" x14ac:dyDescent="0.25">
      <c r="A82" s="1" t="s">
        <v>519</v>
      </c>
      <c r="B82" s="1" t="s">
        <v>130</v>
      </c>
    </row>
    <row r="83" spans="1:2" hidden="1" x14ac:dyDescent="0.25">
      <c r="A83" s="1" t="s">
        <v>520</v>
      </c>
      <c r="B83" s="1" t="s">
        <v>130</v>
      </c>
    </row>
    <row r="84" spans="1:2" hidden="1" x14ac:dyDescent="0.25">
      <c r="A84" s="1" t="s">
        <v>29</v>
      </c>
      <c r="B84" s="1" t="s">
        <v>60</v>
      </c>
    </row>
    <row r="85" spans="1:2" hidden="1" x14ac:dyDescent="0.25">
      <c r="A85" s="1" t="s">
        <v>521</v>
      </c>
      <c r="B85" s="1" t="s">
        <v>60</v>
      </c>
    </row>
    <row r="86" spans="1:2" hidden="1" x14ac:dyDescent="0.25">
      <c r="A86" s="1" t="s">
        <v>522</v>
      </c>
      <c r="B86" s="1" t="s">
        <v>60</v>
      </c>
    </row>
    <row r="87" spans="1:2" hidden="1" x14ac:dyDescent="0.25">
      <c r="A87" s="1" t="s">
        <v>523</v>
      </c>
      <c r="B87" s="1" t="s">
        <v>60</v>
      </c>
    </row>
    <row r="88" spans="1:2" hidden="1" x14ac:dyDescent="0.25">
      <c r="A88" s="1" t="s">
        <v>20</v>
      </c>
      <c r="B88" s="1" t="s">
        <v>10</v>
      </c>
    </row>
    <row r="89" spans="1:2" hidden="1" x14ac:dyDescent="0.25">
      <c r="A89" s="1" t="s">
        <v>33</v>
      </c>
      <c r="B89" s="1" t="s">
        <v>10</v>
      </c>
    </row>
    <row r="90" spans="1:2" hidden="1" x14ac:dyDescent="0.25">
      <c r="A90" s="1" t="s">
        <v>524</v>
      </c>
      <c r="B90" s="1" t="s">
        <v>10</v>
      </c>
    </row>
    <row r="91" spans="1:2" hidden="1" x14ac:dyDescent="0.25">
      <c r="A91" s="1" t="s">
        <v>525</v>
      </c>
      <c r="B91" s="1" t="s">
        <v>2</v>
      </c>
    </row>
    <row r="92" spans="1:2" hidden="1" x14ac:dyDescent="0.25">
      <c r="A92" s="1" t="s">
        <v>526</v>
      </c>
      <c r="B92" s="1" t="s">
        <v>10</v>
      </c>
    </row>
    <row r="93" spans="1:2" hidden="1" x14ac:dyDescent="0.25">
      <c r="A93" s="1" t="s">
        <v>527</v>
      </c>
      <c r="B93" s="1" t="s">
        <v>10</v>
      </c>
    </row>
    <row r="94" spans="1:2" hidden="1" x14ac:dyDescent="0.25">
      <c r="A94" s="1" t="s">
        <v>528</v>
      </c>
      <c r="B94" s="1" t="s">
        <v>10</v>
      </c>
    </row>
    <row r="95" spans="1:2" hidden="1" x14ac:dyDescent="0.25">
      <c r="A95" s="1" t="s">
        <v>372</v>
      </c>
      <c r="B95" s="1" t="s">
        <v>10</v>
      </c>
    </row>
    <row r="96" spans="1:2" hidden="1" x14ac:dyDescent="0.25">
      <c r="A96" s="1" t="s">
        <v>529</v>
      </c>
      <c r="B96" s="1" t="s">
        <v>10</v>
      </c>
    </row>
    <row r="97" spans="1:2" hidden="1" x14ac:dyDescent="0.25">
      <c r="A97" s="1" t="s">
        <v>530</v>
      </c>
      <c r="B97" s="1" t="s">
        <v>10</v>
      </c>
    </row>
    <row r="98" spans="1:2" hidden="1" x14ac:dyDescent="0.25">
      <c r="A98" s="1" t="s">
        <v>531</v>
      </c>
      <c r="B98" s="1" t="s">
        <v>10</v>
      </c>
    </row>
    <row r="99" spans="1:2" hidden="1" x14ac:dyDescent="0.25">
      <c r="A99" s="1" t="s">
        <v>374</v>
      </c>
      <c r="B99" s="1" t="s">
        <v>10</v>
      </c>
    </row>
    <row r="100" spans="1:2" hidden="1" x14ac:dyDescent="0.25">
      <c r="A100" s="1" t="s">
        <v>532</v>
      </c>
      <c r="B100" s="1" t="s">
        <v>10</v>
      </c>
    </row>
    <row r="101" spans="1:2" hidden="1" x14ac:dyDescent="0.25">
      <c r="A101" s="1" t="s">
        <v>533</v>
      </c>
      <c r="B101" s="1" t="s">
        <v>10</v>
      </c>
    </row>
    <row r="102" spans="1:2" hidden="1" x14ac:dyDescent="0.25">
      <c r="A102" s="1" t="s">
        <v>534</v>
      </c>
      <c r="B102" s="1" t="s">
        <v>10</v>
      </c>
    </row>
    <row r="103" spans="1:2" hidden="1" x14ac:dyDescent="0.25">
      <c r="A103" s="1" t="s">
        <v>535</v>
      </c>
      <c r="B103" s="1" t="s">
        <v>10</v>
      </c>
    </row>
    <row r="104" spans="1:2" hidden="1" x14ac:dyDescent="0.25">
      <c r="A104" s="1" t="s">
        <v>139</v>
      </c>
      <c r="B104" s="1" t="s">
        <v>84</v>
      </c>
    </row>
    <row r="105" spans="1:2" hidden="1" x14ac:dyDescent="0.25">
      <c r="A105" s="1" t="s">
        <v>536</v>
      </c>
      <c r="B105" s="1" t="s">
        <v>84</v>
      </c>
    </row>
    <row r="106" spans="1:2" hidden="1" x14ac:dyDescent="0.25">
      <c r="A106" s="1" t="s">
        <v>222</v>
      </c>
      <c r="B106" s="1" t="s">
        <v>18</v>
      </c>
    </row>
    <row r="107" spans="1:2" hidden="1" x14ac:dyDescent="0.25">
      <c r="A107" s="1" t="s">
        <v>537</v>
      </c>
      <c r="B107" s="1" t="s">
        <v>18</v>
      </c>
    </row>
    <row r="108" spans="1:2" hidden="1" x14ac:dyDescent="0.25">
      <c r="A108" s="1" t="s">
        <v>538</v>
      </c>
      <c r="B108" s="1" t="s">
        <v>18</v>
      </c>
    </row>
    <row r="109" spans="1:2" hidden="1" x14ac:dyDescent="0.25">
      <c r="A109" s="1" t="s">
        <v>539</v>
      </c>
      <c r="B109" s="1" t="s">
        <v>84</v>
      </c>
    </row>
    <row r="110" spans="1:2" hidden="1" x14ac:dyDescent="0.25">
      <c r="A110" s="1" t="s">
        <v>540</v>
      </c>
      <c r="B110" s="1" t="s">
        <v>84</v>
      </c>
    </row>
    <row r="111" spans="1:2" hidden="1" x14ac:dyDescent="0.25">
      <c r="A111" s="1" t="s">
        <v>541</v>
      </c>
      <c r="B111" s="1" t="s">
        <v>84</v>
      </c>
    </row>
    <row r="112" spans="1:2" hidden="1" x14ac:dyDescent="0.25">
      <c r="A112" s="1" t="s">
        <v>242</v>
      </c>
      <c r="B112" s="1" t="s">
        <v>84</v>
      </c>
    </row>
    <row r="113" spans="1:2" hidden="1" x14ac:dyDescent="0.25">
      <c r="A113" s="1" t="s">
        <v>542</v>
      </c>
      <c r="B113" s="1" t="s">
        <v>84</v>
      </c>
    </row>
    <row r="114" spans="1:2" hidden="1" x14ac:dyDescent="0.25">
      <c r="A114" s="1" t="s">
        <v>543</v>
      </c>
      <c r="B114" s="1" t="s">
        <v>84</v>
      </c>
    </row>
    <row r="115" spans="1:2" hidden="1" x14ac:dyDescent="0.25">
      <c r="A115" s="1" t="s">
        <v>43</v>
      </c>
      <c r="B115" s="1" t="s">
        <v>84</v>
      </c>
    </row>
    <row r="116" spans="1:2" hidden="1" x14ac:dyDescent="0.25">
      <c r="A116" s="1" t="s">
        <v>544</v>
      </c>
      <c r="B116" s="1" t="s">
        <v>18</v>
      </c>
    </row>
    <row r="117" spans="1:2" hidden="1" x14ac:dyDescent="0.25">
      <c r="A117" s="1" t="s">
        <v>545</v>
      </c>
      <c r="B117" s="1" t="s">
        <v>84</v>
      </c>
    </row>
    <row r="118" spans="1:2" hidden="1" x14ac:dyDescent="0.25">
      <c r="A118" s="1" t="s">
        <v>379</v>
      </c>
      <c r="B118" s="1" t="s">
        <v>84</v>
      </c>
    </row>
    <row r="119" spans="1:2" hidden="1" x14ac:dyDescent="0.25">
      <c r="A119" s="1" t="s">
        <v>381</v>
      </c>
      <c r="B119" s="1" t="s">
        <v>18</v>
      </c>
    </row>
    <row r="120" spans="1:2" hidden="1" x14ac:dyDescent="0.25">
      <c r="A120" s="1" t="s">
        <v>252</v>
      </c>
      <c r="B120" s="1" t="s">
        <v>18</v>
      </c>
    </row>
    <row r="121" spans="1:2" hidden="1" x14ac:dyDescent="0.25">
      <c r="A121" s="1" t="s">
        <v>546</v>
      </c>
      <c r="B121" s="1" t="s">
        <v>18</v>
      </c>
    </row>
    <row r="122" spans="1:2" hidden="1" x14ac:dyDescent="0.25">
      <c r="A122" s="1" t="s">
        <v>547</v>
      </c>
      <c r="B122" s="1" t="s">
        <v>18</v>
      </c>
    </row>
    <row r="123" spans="1:2" hidden="1" x14ac:dyDescent="0.25">
      <c r="A123" s="1" t="s">
        <v>548</v>
      </c>
      <c r="B123" s="1" t="s">
        <v>18</v>
      </c>
    </row>
    <row r="124" spans="1:2" hidden="1" x14ac:dyDescent="0.25">
      <c r="A124" s="1" t="s">
        <v>549</v>
      </c>
      <c r="B124" s="1" t="s">
        <v>18</v>
      </c>
    </row>
    <row r="125" spans="1:2" hidden="1" x14ac:dyDescent="0.25">
      <c r="A125" s="1" t="s">
        <v>550</v>
      </c>
      <c r="B125" s="1" t="s">
        <v>18</v>
      </c>
    </row>
    <row r="126" spans="1:2" hidden="1" x14ac:dyDescent="0.25">
      <c r="A126" s="1" t="s">
        <v>551</v>
      </c>
      <c r="B126" s="1" t="s">
        <v>2</v>
      </c>
    </row>
    <row r="127" spans="1:2" hidden="1" x14ac:dyDescent="0.25">
      <c r="A127" s="1" t="s">
        <v>552</v>
      </c>
      <c r="B127" s="1" t="s">
        <v>2</v>
      </c>
    </row>
    <row r="128" spans="1:2" hidden="1" x14ac:dyDescent="0.25">
      <c r="A128" s="1" t="s">
        <v>192</v>
      </c>
      <c r="B128" s="1" t="s">
        <v>2</v>
      </c>
    </row>
    <row r="129" spans="1:2" hidden="1" x14ac:dyDescent="0.25">
      <c r="A129" s="1" t="s">
        <v>553</v>
      </c>
      <c r="B129" s="1" t="s">
        <v>2</v>
      </c>
    </row>
    <row r="130" spans="1:2" hidden="1" x14ac:dyDescent="0.25">
      <c r="A130" s="1" t="s">
        <v>554</v>
      </c>
      <c r="B130" s="1" t="s">
        <v>2</v>
      </c>
    </row>
    <row r="131" spans="1:2" hidden="1" x14ac:dyDescent="0.25">
      <c r="A131" s="1" t="s">
        <v>555</v>
      </c>
      <c r="B131" s="1" t="s">
        <v>2</v>
      </c>
    </row>
    <row r="132" spans="1:2" hidden="1" x14ac:dyDescent="0.25">
      <c r="A132" s="1" t="s">
        <v>556</v>
      </c>
      <c r="B132" s="1" t="s">
        <v>2</v>
      </c>
    </row>
    <row r="133" spans="1:2" hidden="1" x14ac:dyDescent="0.25">
      <c r="A133" s="1" t="s">
        <v>557</v>
      </c>
      <c r="B133" s="1" t="s">
        <v>2</v>
      </c>
    </row>
    <row r="134" spans="1:2" hidden="1" x14ac:dyDescent="0.25">
      <c r="A134" s="1" t="s">
        <v>558</v>
      </c>
      <c r="B134" s="1" t="s">
        <v>2</v>
      </c>
    </row>
    <row r="135" spans="1:2" hidden="1" x14ac:dyDescent="0.25">
      <c r="A135" s="1" t="s">
        <v>559</v>
      </c>
      <c r="B135" s="1" t="s">
        <v>2</v>
      </c>
    </row>
    <row r="136" spans="1:2" hidden="1" x14ac:dyDescent="0.25">
      <c r="A136" s="1" t="s">
        <v>560</v>
      </c>
      <c r="B136" s="1" t="s">
        <v>2</v>
      </c>
    </row>
    <row r="137" spans="1:2" hidden="1" x14ac:dyDescent="0.25">
      <c r="A137" s="1" t="s">
        <v>561</v>
      </c>
      <c r="B137" s="1" t="s">
        <v>2</v>
      </c>
    </row>
    <row r="138" spans="1:2" hidden="1" x14ac:dyDescent="0.25">
      <c r="A138" s="1" t="s">
        <v>562</v>
      </c>
      <c r="B138" s="1" t="s">
        <v>2</v>
      </c>
    </row>
    <row r="139" spans="1:2" hidden="1" x14ac:dyDescent="0.25">
      <c r="A139" s="1" t="s">
        <v>563</v>
      </c>
      <c r="B139" s="1" t="s">
        <v>2</v>
      </c>
    </row>
    <row r="140" spans="1:2" hidden="1" x14ac:dyDescent="0.25">
      <c r="A140" s="1" t="s">
        <v>564</v>
      </c>
      <c r="B140" s="1" t="s">
        <v>2</v>
      </c>
    </row>
    <row r="141" spans="1:2" hidden="1" x14ac:dyDescent="0.25">
      <c r="A141" s="1" t="s">
        <v>565</v>
      </c>
      <c r="B141" s="1" t="s">
        <v>2</v>
      </c>
    </row>
    <row r="142" spans="1:2" hidden="1" x14ac:dyDescent="0.25">
      <c r="A142" s="1" t="s">
        <v>566</v>
      </c>
      <c r="B142" s="1" t="s">
        <v>2</v>
      </c>
    </row>
    <row r="143" spans="1:2" hidden="1" x14ac:dyDescent="0.25">
      <c r="A143" s="1" t="s">
        <v>567</v>
      </c>
      <c r="B143" s="1" t="s">
        <v>2</v>
      </c>
    </row>
    <row r="144" spans="1:2" hidden="1" x14ac:dyDescent="0.25">
      <c r="A144" s="1" t="s">
        <v>568</v>
      </c>
      <c r="B144" s="1" t="s">
        <v>2</v>
      </c>
    </row>
    <row r="145" spans="1:2" hidden="1" x14ac:dyDescent="0.25">
      <c r="A145" s="1" t="s">
        <v>569</v>
      </c>
      <c r="B145" s="1" t="s">
        <v>2</v>
      </c>
    </row>
    <row r="146" spans="1:2" hidden="1" x14ac:dyDescent="0.25">
      <c r="A146" s="1" t="s">
        <v>570</v>
      </c>
      <c r="B146" s="1" t="s">
        <v>2</v>
      </c>
    </row>
    <row r="147" spans="1:2" hidden="1" x14ac:dyDescent="0.25">
      <c r="A147" s="1" t="s">
        <v>571</v>
      </c>
      <c r="B147" s="1" t="s">
        <v>2</v>
      </c>
    </row>
    <row r="148" spans="1:2" hidden="1" x14ac:dyDescent="0.25">
      <c r="A148" s="1" t="s">
        <v>572</v>
      </c>
      <c r="B148" s="1" t="s">
        <v>2</v>
      </c>
    </row>
    <row r="149" spans="1:2" hidden="1" x14ac:dyDescent="0.25">
      <c r="A149" s="1" t="s">
        <v>573</v>
      </c>
      <c r="B149" s="1" t="s">
        <v>2</v>
      </c>
    </row>
    <row r="150" spans="1:2" hidden="1" x14ac:dyDescent="0.25">
      <c r="A150" s="1" t="s">
        <v>574</v>
      </c>
      <c r="B150" s="1" t="s">
        <v>2</v>
      </c>
    </row>
    <row r="151" spans="1:2" hidden="1" x14ac:dyDescent="0.25">
      <c r="A151" s="1" t="s">
        <v>575</v>
      </c>
      <c r="B151" s="1" t="s">
        <v>2</v>
      </c>
    </row>
    <row r="152" spans="1:2" hidden="1" x14ac:dyDescent="0.25">
      <c r="A152" s="1" t="s">
        <v>576</v>
      </c>
      <c r="B152" s="1" t="s">
        <v>2</v>
      </c>
    </row>
    <row r="153" spans="1:2" hidden="1" x14ac:dyDescent="0.25">
      <c r="A153" s="1" t="s">
        <v>204</v>
      </c>
      <c r="B153" s="1" t="s">
        <v>2</v>
      </c>
    </row>
    <row r="154" spans="1:2" hidden="1" x14ac:dyDescent="0.25">
      <c r="A154" s="1" t="s">
        <v>577</v>
      </c>
      <c r="B154" s="1" t="s">
        <v>2</v>
      </c>
    </row>
    <row r="155" spans="1:2" hidden="1" x14ac:dyDescent="0.25">
      <c r="A155" s="1" t="s">
        <v>578</v>
      </c>
      <c r="B155" s="1" t="s">
        <v>2</v>
      </c>
    </row>
    <row r="156" spans="1:2" hidden="1" x14ac:dyDescent="0.25">
      <c r="A156" s="1" t="s">
        <v>579</v>
      </c>
      <c r="B156" s="1" t="s">
        <v>2</v>
      </c>
    </row>
    <row r="157" spans="1:2" hidden="1" x14ac:dyDescent="0.25">
      <c r="A157" s="1" t="s">
        <v>580</v>
      </c>
      <c r="B157" s="1" t="s">
        <v>2</v>
      </c>
    </row>
    <row r="158" spans="1:2" hidden="1" x14ac:dyDescent="0.25">
      <c r="A158" s="1" t="s">
        <v>194</v>
      </c>
      <c r="B158" s="1" t="s">
        <v>2</v>
      </c>
    </row>
    <row r="159" spans="1:2" hidden="1" x14ac:dyDescent="0.25">
      <c r="A159" s="1" t="s">
        <v>581</v>
      </c>
      <c r="B159" s="1" t="s">
        <v>2</v>
      </c>
    </row>
    <row r="160" spans="1:2" hidden="1" x14ac:dyDescent="0.25">
      <c r="A160" s="1" t="s">
        <v>582</v>
      </c>
      <c r="B160" s="1" t="s">
        <v>2</v>
      </c>
    </row>
    <row r="161" spans="1:2" hidden="1" x14ac:dyDescent="0.25">
      <c r="A161" s="1" t="s">
        <v>583</v>
      </c>
      <c r="B161" s="1" t="s">
        <v>2</v>
      </c>
    </row>
    <row r="162" spans="1:2" hidden="1" x14ac:dyDescent="0.25">
      <c r="A162" s="1" t="s">
        <v>584</v>
      </c>
      <c r="B162" s="1" t="s">
        <v>2</v>
      </c>
    </row>
    <row r="163" spans="1:2" hidden="1" x14ac:dyDescent="0.25">
      <c r="A163" s="1" t="s">
        <v>585</v>
      </c>
      <c r="B163" s="1" t="s">
        <v>2</v>
      </c>
    </row>
    <row r="164" spans="1:2" hidden="1" x14ac:dyDescent="0.25">
      <c r="A164" s="1" t="s">
        <v>586</v>
      </c>
      <c r="B164" s="1" t="s">
        <v>2</v>
      </c>
    </row>
    <row r="165" spans="1:2" hidden="1" x14ac:dyDescent="0.25">
      <c r="A165" s="1" t="s">
        <v>587</v>
      </c>
      <c r="B165" s="1" t="s">
        <v>2</v>
      </c>
    </row>
    <row r="166" spans="1:2" hidden="1" x14ac:dyDescent="0.25">
      <c r="A166" s="1" t="s">
        <v>588</v>
      </c>
      <c r="B166" s="1" t="s">
        <v>2</v>
      </c>
    </row>
    <row r="167" spans="1:2" hidden="1" x14ac:dyDescent="0.25">
      <c r="A167" s="1" t="s">
        <v>589</v>
      </c>
      <c r="B167" s="1" t="s">
        <v>2</v>
      </c>
    </row>
    <row r="168" spans="1:2" hidden="1" x14ac:dyDescent="0.25">
      <c r="A168" s="1" t="s">
        <v>590</v>
      </c>
      <c r="B168" s="1" t="s">
        <v>2</v>
      </c>
    </row>
    <row r="169" spans="1:2" hidden="1" x14ac:dyDescent="0.25">
      <c r="A169" s="1" t="s">
        <v>591</v>
      </c>
      <c r="B169" s="1" t="s">
        <v>2</v>
      </c>
    </row>
    <row r="170" spans="1:2" hidden="1" x14ac:dyDescent="0.25">
      <c r="A170" s="1" t="s">
        <v>592</v>
      </c>
      <c r="B170" s="1" t="s">
        <v>2</v>
      </c>
    </row>
    <row r="171" spans="1:2" hidden="1" x14ac:dyDescent="0.25">
      <c r="A171" s="1" t="s">
        <v>593</v>
      </c>
      <c r="B171" s="1" t="s">
        <v>2</v>
      </c>
    </row>
    <row r="172" spans="1:2" hidden="1" x14ac:dyDescent="0.25">
      <c r="A172" s="1" t="s">
        <v>594</v>
      </c>
      <c r="B172" s="1" t="s">
        <v>2</v>
      </c>
    </row>
    <row r="173" spans="1:2" hidden="1" x14ac:dyDescent="0.25">
      <c r="A173" s="1" t="s">
        <v>595</v>
      </c>
      <c r="B173" s="1" t="s">
        <v>2</v>
      </c>
    </row>
    <row r="174" spans="1:2" hidden="1" x14ac:dyDescent="0.25">
      <c r="A174" s="1" t="s">
        <v>596</v>
      </c>
      <c r="B174" s="1" t="s">
        <v>2</v>
      </c>
    </row>
    <row r="175" spans="1:2" hidden="1" x14ac:dyDescent="0.25">
      <c r="A175" s="1" t="s">
        <v>597</v>
      </c>
      <c r="B175" s="1" t="s">
        <v>2</v>
      </c>
    </row>
    <row r="176" spans="1:2" hidden="1" x14ac:dyDescent="0.25">
      <c r="A176" s="1" t="s">
        <v>598</v>
      </c>
      <c r="B176" s="1" t="s">
        <v>2</v>
      </c>
    </row>
    <row r="177" spans="1:2" hidden="1" x14ac:dyDescent="0.25">
      <c r="A177" s="1" t="s">
        <v>599</v>
      </c>
      <c r="B177" s="1" t="s">
        <v>2</v>
      </c>
    </row>
    <row r="178" spans="1:2" hidden="1" x14ac:dyDescent="0.25">
      <c r="A178" s="1" t="s">
        <v>600</v>
      </c>
      <c r="B178" s="1" t="s">
        <v>2</v>
      </c>
    </row>
    <row r="179" spans="1:2" hidden="1" x14ac:dyDescent="0.25">
      <c r="A179" s="1" t="s">
        <v>601</v>
      </c>
      <c r="B179" s="1" t="s">
        <v>2</v>
      </c>
    </row>
    <row r="180" spans="1:2" hidden="1" x14ac:dyDescent="0.25">
      <c r="A180" s="1" t="s">
        <v>602</v>
      </c>
      <c r="B180" s="1" t="s">
        <v>2</v>
      </c>
    </row>
    <row r="181" spans="1:2" hidden="1" x14ac:dyDescent="0.25">
      <c r="A181" s="1" t="s">
        <v>603</v>
      </c>
      <c r="B181" s="1" t="s">
        <v>2</v>
      </c>
    </row>
    <row r="182" spans="1:2" hidden="1" x14ac:dyDescent="0.25">
      <c r="A182" s="1" t="s">
        <v>604</v>
      </c>
      <c r="B182" s="1" t="s">
        <v>2</v>
      </c>
    </row>
    <row r="183" spans="1:2" hidden="1" x14ac:dyDescent="0.25">
      <c r="A183" s="1" t="s">
        <v>605</v>
      </c>
      <c r="B183" s="1" t="s">
        <v>2</v>
      </c>
    </row>
    <row r="184" spans="1:2" hidden="1" x14ac:dyDescent="0.25">
      <c r="A184" s="1" t="s">
        <v>606</v>
      </c>
      <c r="B184" s="1" t="s">
        <v>2</v>
      </c>
    </row>
    <row r="185" spans="1:2" hidden="1" x14ac:dyDescent="0.25">
      <c r="A185" s="1" t="s">
        <v>607</v>
      </c>
      <c r="B185" s="1" t="s">
        <v>2</v>
      </c>
    </row>
    <row r="186" spans="1:2" hidden="1" x14ac:dyDescent="0.25">
      <c r="A186" s="1" t="s">
        <v>608</v>
      </c>
      <c r="B186" s="1" t="s">
        <v>2</v>
      </c>
    </row>
    <row r="187" spans="1:2" hidden="1" x14ac:dyDescent="0.25">
      <c r="A187" s="1" t="s">
        <v>609</v>
      </c>
      <c r="B187" s="1" t="s">
        <v>2</v>
      </c>
    </row>
    <row r="188" spans="1:2" hidden="1" x14ac:dyDescent="0.25">
      <c r="A188" s="1" t="s">
        <v>610</v>
      </c>
      <c r="B188" s="1" t="s">
        <v>2</v>
      </c>
    </row>
    <row r="189" spans="1:2" hidden="1" x14ac:dyDescent="0.25">
      <c r="A189" s="1" t="s">
        <v>611</v>
      </c>
      <c r="B189" s="1" t="s">
        <v>2</v>
      </c>
    </row>
    <row r="190" spans="1:2" hidden="1" x14ac:dyDescent="0.25">
      <c r="A190" s="1" t="s">
        <v>612</v>
      </c>
      <c r="B190" s="1" t="s">
        <v>2</v>
      </c>
    </row>
    <row r="191" spans="1:2" hidden="1" x14ac:dyDescent="0.25">
      <c r="A191" s="1" t="s">
        <v>613</v>
      </c>
      <c r="B191" s="1" t="s">
        <v>2</v>
      </c>
    </row>
    <row r="192" spans="1:2" hidden="1" x14ac:dyDescent="0.25">
      <c r="A192" s="1" t="s">
        <v>614</v>
      </c>
      <c r="B192" s="1" t="s">
        <v>2</v>
      </c>
    </row>
    <row r="193" spans="1:2" hidden="1" x14ac:dyDescent="0.25">
      <c r="A193" s="1" t="s">
        <v>615</v>
      </c>
      <c r="B193" s="1" t="s">
        <v>2</v>
      </c>
    </row>
    <row r="194" spans="1:2" hidden="1" x14ac:dyDescent="0.25">
      <c r="A194" s="1" t="s">
        <v>616</v>
      </c>
      <c r="B194" s="1" t="s">
        <v>2</v>
      </c>
    </row>
    <row r="195" spans="1:2" hidden="1" x14ac:dyDescent="0.25">
      <c r="A195" s="1" t="s">
        <v>617</v>
      </c>
      <c r="B195" s="1" t="s">
        <v>2</v>
      </c>
    </row>
    <row r="196" spans="1:2" hidden="1" x14ac:dyDescent="0.25">
      <c r="A196" s="1" t="s">
        <v>618</v>
      </c>
      <c r="B196" s="1" t="s">
        <v>2</v>
      </c>
    </row>
    <row r="197" spans="1:2" hidden="1" x14ac:dyDescent="0.25">
      <c r="A197" s="1" t="s">
        <v>619</v>
      </c>
      <c r="B197" s="1" t="s">
        <v>2</v>
      </c>
    </row>
    <row r="198" spans="1:2" hidden="1" x14ac:dyDescent="0.25">
      <c r="A198" s="1" t="s">
        <v>620</v>
      </c>
      <c r="B198" s="1" t="s">
        <v>2</v>
      </c>
    </row>
    <row r="199" spans="1:2" hidden="1" x14ac:dyDescent="0.25">
      <c r="A199" s="1" t="s">
        <v>621</v>
      </c>
      <c r="B199" s="1" t="s">
        <v>2</v>
      </c>
    </row>
    <row r="200" spans="1:2" hidden="1" x14ac:dyDescent="0.25">
      <c r="A200" s="1" t="s">
        <v>622</v>
      </c>
      <c r="B200" s="1" t="s">
        <v>2</v>
      </c>
    </row>
    <row r="201" spans="1:2" hidden="1" x14ac:dyDescent="0.25">
      <c r="A201" s="1" t="s">
        <v>623</v>
      </c>
      <c r="B201" s="1" t="s">
        <v>2</v>
      </c>
    </row>
    <row r="202" spans="1:2" hidden="1" x14ac:dyDescent="0.25">
      <c r="A202" s="1" t="s">
        <v>624</v>
      </c>
      <c r="B202" s="1" t="s">
        <v>2</v>
      </c>
    </row>
    <row r="203" spans="1:2" hidden="1" x14ac:dyDescent="0.25">
      <c r="A203" s="1" t="s">
        <v>625</v>
      </c>
      <c r="B203" s="1" t="s">
        <v>2</v>
      </c>
    </row>
    <row r="204" spans="1:2" hidden="1" x14ac:dyDescent="0.25">
      <c r="A204" s="1" t="s">
        <v>626</v>
      </c>
      <c r="B204" s="1" t="s">
        <v>2</v>
      </c>
    </row>
    <row r="205" spans="1:2" hidden="1" x14ac:dyDescent="0.25">
      <c r="A205" s="1" t="s">
        <v>627</v>
      </c>
      <c r="B205" s="1" t="s">
        <v>2</v>
      </c>
    </row>
    <row r="206" spans="1:2" hidden="1" x14ac:dyDescent="0.25">
      <c r="A206" s="1" t="s">
        <v>101</v>
      </c>
      <c r="B206" s="1" t="s">
        <v>10</v>
      </c>
    </row>
    <row r="207" spans="1:2" hidden="1" x14ac:dyDescent="0.25">
      <c r="A207" s="1" t="s">
        <v>628</v>
      </c>
      <c r="B207" s="1" t="s">
        <v>10</v>
      </c>
    </row>
    <row r="208" spans="1:2" hidden="1" x14ac:dyDescent="0.25">
      <c r="A208" s="1" t="s">
        <v>629</v>
      </c>
      <c r="B208" s="1" t="s">
        <v>10</v>
      </c>
    </row>
    <row r="209" spans="1:2" hidden="1" x14ac:dyDescent="0.25">
      <c r="A209" s="1" t="s">
        <v>630</v>
      </c>
      <c r="B209" s="1" t="s">
        <v>10</v>
      </c>
    </row>
    <row r="210" spans="1:2" hidden="1" x14ac:dyDescent="0.25">
      <c r="A210" s="1" t="s">
        <v>631</v>
      </c>
      <c r="B210" s="1" t="s">
        <v>10</v>
      </c>
    </row>
    <row r="211" spans="1:2" hidden="1" x14ac:dyDescent="0.25">
      <c r="A211" s="1" t="s">
        <v>632</v>
      </c>
      <c r="B211" s="1" t="s">
        <v>10</v>
      </c>
    </row>
    <row r="212" spans="1:2" hidden="1" x14ac:dyDescent="0.25">
      <c r="A212" s="1" t="s">
        <v>387</v>
      </c>
      <c r="B212" s="1" t="s">
        <v>10</v>
      </c>
    </row>
    <row r="213" spans="1:2" hidden="1" x14ac:dyDescent="0.25">
      <c r="A213" s="1" t="s">
        <v>633</v>
      </c>
      <c r="B213" s="1" t="s">
        <v>10</v>
      </c>
    </row>
    <row r="214" spans="1:2" hidden="1" x14ac:dyDescent="0.25">
      <c r="A214" s="1" t="s">
        <v>634</v>
      </c>
      <c r="B214" s="1" t="s">
        <v>10</v>
      </c>
    </row>
    <row r="215" spans="1:2" hidden="1" x14ac:dyDescent="0.25">
      <c r="A215" s="1" t="s">
        <v>389</v>
      </c>
      <c r="B215" s="1" t="s">
        <v>10</v>
      </c>
    </row>
    <row r="216" spans="1:2" hidden="1" x14ac:dyDescent="0.25">
      <c r="A216" s="1" t="s">
        <v>635</v>
      </c>
      <c r="B216" s="1" t="s">
        <v>10</v>
      </c>
    </row>
    <row r="217" spans="1:2" hidden="1" x14ac:dyDescent="0.25">
      <c r="A217" s="1" t="s">
        <v>122</v>
      </c>
      <c r="B217" s="1" t="s">
        <v>10</v>
      </c>
    </row>
    <row r="218" spans="1:2" hidden="1" x14ac:dyDescent="0.25">
      <c r="A218" s="1" t="s">
        <v>15</v>
      </c>
      <c r="B218" s="1" t="s">
        <v>10</v>
      </c>
    </row>
    <row r="219" spans="1:2" hidden="1" x14ac:dyDescent="0.25">
      <c r="A219" s="1" t="s">
        <v>636</v>
      </c>
      <c r="B219" s="1" t="s">
        <v>10</v>
      </c>
    </row>
    <row r="220" spans="1:2" hidden="1" x14ac:dyDescent="0.25">
      <c r="A220" s="1" t="s">
        <v>637</v>
      </c>
      <c r="B220" s="1" t="s">
        <v>10</v>
      </c>
    </row>
    <row r="221" spans="1:2" hidden="1" x14ac:dyDescent="0.25">
      <c r="A221" s="1" t="s">
        <v>638</v>
      </c>
      <c r="B221" s="1" t="s">
        <v>10</v>
      </c>
    </row>
    <row r="222" spans="1:2" hidden="1" x14ac:dyDescent="0.25">
      <c r="A222" s="1" t="s">
        <v>59</v>
      </c>
      <c r="B222" s="1" t="s">
        <v>60</v>
      </c>
    </row>
    <row r="223" spans="1:2" hidden="1" x14ac:dyDescent="0.25">
      <c r="A223" s="1" t="s">
        <v>639</v>
      </c>
      <c r="B223" s="1" t="s">
        <v>60</v>
      </c>
    </row>
    <row r="224" spans="1:2" hidden="1" x14ac:dyDescent="0.25">
      <c r="A224" s="1" t="s">
        <v>640</v>
      </c>
      <c r="B224" s="1" t="s">
        <v>60</v>
      </c>
    </row>
    <row r="225" spans="1:2" hidden="1" x14ac:dyDescent="0.25">
      <c r="A225" s="1" t="s">
        <v>641</v>
      </c>
      <c r="B225" s="1" t="s">
        <v>60</v>
      </c>
    </row>
    <row r="226" spans="1:2" hidden="1" x14ac:dyDescent="0.25">
      <c r="A226" s="1" t="s">
        <v>642</v>
      </c>
      <c r="B226" s="1" t="s">
        <v>60</v>
      </c>
    </row>
    <row r="227" spans="1:2" hidden="1" x14ac:dyDescent="0.25">
      <c r="A227" s="1" t="s">
        <v>69</v>
      </c>
      <c r="B227" s="1" t="s">
        <v>60</v>
      </c>
    </row>
    <row r="228" spans="1:2" hidden="1" x14ac:dyDescent="0.25">
      <c r="A228" s="1" t="s">
        <v>643</v>
      </c>
      <c r="B228" s="1" t="s">
        <v>60</v>
      </c>
    </row>
    <row r="229" spans="1:2" x14ac:dyDescent="0.25">
      <c r="A229" s="1" t="s">
        <v>45</v>
      </c>
      <c r="B229" s="1" t="s">
        <v>46</v>
      </c>
    </row>
    <row r="230" spans="1:2" hidden="1" x14ac:dyDescent="0.25">
      <c r="A230" s="1" t="s">
        <v>644</v>
      </c>
      <c r="B230" s="1" t="s">
        <v>18</v>
      </c>
    </row>
    <row r="231" spans="1:2" x14ac:dyDescent="0.25">
      <c r="A231" s="1" t="s">
        <v>645</v>
      </c>
      <c r="B231" s="1" t="s">
        <v>46</v>
      </c>
    </row>
    <row r="232" spans="1:2" x14ac:dyDescent="0.25">
      <c r="A232" s="1" t="s">
        <v>646</v>
      </c>
      <c r="B232" s="1" t="s">
        <v>46</v>
      </c>
    </row>
    <row r="233" spans="1:2" x14ac:dyDescent="0.25">
      <c r="A233" s="1" t="s">
        <v>647</v>
      </c>
      <c r="B233" s="1" t="s">
        <v>46</v>
      </c>
    </row>
    <row r="234" spans="1:2" x14ac:dyDescent="0.25">
      <c r="A234" s="1" t="s">
        <v>150</v>
      </c>
      <c r="B234" s="1" t="s">
        <v>46</v>
      </c>
    </row>
    <row r="235" spans="1:2" x14ac:dyDescent="0.25">
      <c r="A235" s="1" t="s">
        <v>648</v>
      </c>
      <c r="B235" s="1" t="s">
        <v>46</v>
      </c>
    </row>
    <row r="236" spans="1:2" x14ac:dyDescent="0.25">
      <c r="A236" s="1" t="s">
        <v>649</v>
      </c>
      <c r="B236" s="1" t="s">
        <v>46</v>
      </c>
    </row>
    <row r="237" spans="1:2" x14ac:dyDescent="0.25">
      <c r="A237" s="1" t="s">
        <v>163</v>
      </c>
      <c r="B237" s="1" t="s">
        <v>46</v>
      </c>
    </row>
    <row r="238" spans="1:2" x14ac:dyDescent="0.25">
      <c r="A238" s="1" t="s">
        <v>650</v>
      </c>
      <c r="B238" s="1" t="s">
        <v>46</v>
      </c>
    </row>
    <row r="239" spans="1:2" x14ac:dyDescent="0.25">
      <c r="A239" s="1" t="s">
        <v>651</v>
      </c>
      <c r="B239" s="1" t="s">
        <v>46</v>
      </c>
    </row>
    <row r="240" spans="1:2" x14ac:dyDescent="0.25">
      <c r="A240" s="1" t="s">
        <v>652</v>
      </c>
      <c r="B240" s="1" t="s">
        <v>46</v>
      </c>
    </row>
    <row r="241" spans="1:2" x14ac:dyDescent="0.25">
      <c r="A241" s="1" t="s">
        <v>653</v>
      </c>
      <c r="B241" s="1" t="s">
        <v>46</v>
      </c>
    </row>
    <row r="242" spans="1:2" x14ac:dyDescent="0.25">
      <c r="A242" s="1" t="s">
        <v>395</v>
      </c>
      <c r="B242" s="1" t="s">
        <v>46</v>
      </c>
    </row>
    <row r="243" spans="1:2" x14ac:dyDescent="0.25">
      <c r="A243" s="1" t="s">
        <v>654</v>
      </c>
      <c r="B243" s="1" t="s">
        <v>46</v>
      </c>
    </row>
    <row r="244" spans="1:2" x14ac:dyDescent="0.25">
      <c r="A244" s="1" t="s">
        <v>655</v>
      </c>
      <c r="B244" s="1" t="s">
        <v>46</v>
      </c>
    </row>
    <row r="245" spans="1:2" x14ac:dyDescent="0.25">
      <c r="A245" s="1" t="s">
        <v>213</v>
      </c>
      <c r="B245" s="1" t="s">
        <v>46</v>
      </c>
    </row>
    <row r="246" spans="1:2" x14ac:dyDescent="0.25">
      <c r="A246" s="1" t="s">
        <v>656</v>
      </c>
      <c r="B246" s="1" t="s">
        <v>46</v>
      </c>
    </row>
    <row r="247" spans="1:2" x14ac:dyDescent="0.25">
      <c r="A247" s="1" t="s">
        <v>657</v>
      </c>
      <c r="B247" s="1" t="s">
        <v>46</v>
      </c>
    </row>
    <row r="248" spans="1:2" x14ac:dyDescent="0.25">
      <c r="A248" s="1" t="s">
        <v>658</v>
      </c>
      <c r="B248" s="1" t="s">
        <v>46</v>
      </c>
    </row>
    <row r="249" spans="1:2" hidden="1" x14ac:dyDescent="0.25">
      <c r="A249" s="1" t="s">
        <v>398</v>
      </c>
      <c r="B249" s="1" t="s">
        <v>10</v>
      </c>
    </row>
    <row r="250" spans="1:2" hidden="1" x14ac:dyDescent="0.25">
      <c r="A250" s="1" t="s">
        <v>186</v>
      </c>
      <c r="B250" s="1" t="s">
        <v>10</v>
      </c>
    </row>
    <row r="251" spans="1:2" hidden="1" x14ac:dyDescent="0.25">
      <c r="A251" s="1" t="s">
        <v>659</v>
      </c>
      <c r="B251" s="1" t="s">
        <v>10</v>
      </c>
    </row>
    <row r="252" spans="1:2" hidden="1" x14ac:dyDescent="0.25">
      <c r="A252" s="1" t="s">
        <v>660</v>
      </c>
      <c r="B252" s="1" t="s">
        <v>10</v>
      </c>
    </row>
    <row r="253" spans="1:2" hidden="1" x14ac:dyDescent="0.25">
      <c r="A253" s="1" t="s">
        <v>661</v>
      </c>
      <c r="B253" s="1" t="s">
        <v>10</v>
      </c>
    </row>
    <row r="254" spans="1:2" hidden="1" x14ac:dyDescent="0.25">
      <c r="A254" s="1" t="s">
        <v>662</v>
      </c>
      <c r="B254" s="1" t="s">
        <v>10</v>
      </c>
    </row>
    <row r="255" spans="1:2" hidden="1" x14ac:dyDescent="0.25">
      <c r="A255" s="1" t="s">
        <v>663</v>
      </c>
      <c r="B255" s="1" t="s">
        <v>10</v>
      </c>
    </row>
    <row r="256" spans="1:2" hidden="1" x14ac:dyDescent="0.25">
      <c r="A256" s="1" t="s">
        <v>664</v>
      </c>
      <c r="B256" s="1" t="s">
        <v>10</v>
      </c>
    </row>
    <row r="257" spans="1:2" hidden="1" x14ac:dyDescent="0.25">
      <c r="A257" s="1" t="s">
        <v>665</v>
      </c>
      <c r="B257" s="1" t="s">
        <v>10</v>
      </c>
    </row>
    <row r="258" spans="1:2" hidden="1" x14ac:dyDescent="0.25">
      <c r="A258" s="1" t="s">
        <v>666</v>
      </c>
      <c r="B258" s="1" t="s">
        <v>2</v>
      </c>
    </row>
    <row r="259" spans="1:2" hidden="1" x14ac:dyDescent="0.25">
      <c r="A259" s="1" t="s">
        <v>12</v>
      </c>
      <c r="B259" s="1" t="s">
        <v>13</v>
      </c>
    </row>
    <row r="260" spans="1:2" hidden="1" x14ac:dyDescent="0.25">
      <c r="A260" s="1" t="s">
        <v>97</v>
      </c>
      <c r="B260" s="1" t="s">
        <v>13</v>
      </c>
    </row>
    <row r="261" spans="1:2" hidden="1" x14ac:dyDescent="0.25">
      <c r="A261" s="1" t="s">
        <v>667</v>
      </c>
      <c r="B261" s="1" t="s">
        <v>13</v>
      </c>
    </row>
    <row r="262" spans="1:2" hidden="1" x14ac:dyDescent="0.25">
      <c r="A262" s="1" t="s">
        <v>668</v>
      </c>
      <c r="B262" s="1" t="s">
        <v>13</v>
      </c>
    </row>
    <row r="263" spans="1:2" hidden="1" x14ac:dyDescent="0.25">
      <c r="A263" s="1" t="s">
        <v>669</v>
      </c>
      <c r="B263" s="1" t="s">
        <v>18</v>
      </c>
    </row>
    <row r="264" spans="1:2" hidden="1" x14ac:dyDescent="0.25">
      <c r="A264" s="1" t="s">
        <v>670</v>
      </c>
      <c r="B264" s="1" t="s">
        <v>18</v>
      </c>
    </row>
    <row r="265" spans="1:2" hidden="1" x14ac:dyDescent="0.25">
      <c r="A265" s="1" t="s">
        <v>671</v>
      </c>
      <c r="B265" s="1" t="s">
        <v>18</v>
      </c>
    </row>
    <row r="266" spans="1:2" hidden="1" x14ac:dyDescent="0.25">
      <c r="A266" s="1" t="s">
        <v>96</v>
      </c>
      <c r="B266" s="1" t="s">
        <v>18</v>
      </c>
    </row>
    <row r="267" spans="1:2" hidden="1" x14ac:dyDescent="0.25">
      <c r="A267" s="1" t="s">
        <v>672</v>
      </c>
      <c r="B267" s="1" t="s">
        <v>18</v>
      </c>
    </row>
    <row r="268" spans="1:2" hidden="1" x14ac:dyDescent="0.25">
      <c r="A268" s="1" t="s">
        <v>673</v>
      </c>
      <c r="B268" s="1" t="s">
        <v>13</v>
      </c>
    </row>
    <row r="269" spans="1:2" hidden="1" x14ac:dyDescent="0.25">
      <c r="A269" s="1" t="s">
        <v>674</v>
      </c>
      <c r="B269" s="1" t="s">
        <v>18</v>
      </c>
    </row>
    <row r="270" spans="1:2" hidden="1" x14ac:dyDescent="0.25">
      <c r="A270" s="1" t="s">
        <v>675</v>
      </c>
      <c r="B270" s="1" t="s">
        <v>13</v>
      </c>
    </row>
    <row r="271" spans="1:2" hidden="1" x14ac:dyDescent="0.25">
      <c r="A271" s="1" t="s">
        <v>676</v>
      </c>
      <c r="B271" s="1" t="s">
        <v>13</v>
      </c>
    </row>
    <row r="272" spans="1:2" hidden="1" x14ac:dyDescent="0.25">
      <c r="A272" s="1" t="s">
        <v>677</v>
      </c>
      <c r="B272" s="1" t="s">
        <v>13</v>
      </c>
    </row>
    <row r="273" spans="1:2" hidden="1" x14ac:dyDescent="0.25">
      <c r="A273" s="1" t="s">
        <v>181</v>
      </c>
      <c r="B273" s="1" t="s">
        <v>13</v>
      </c>
    </row>
    <row r="274" spans="1:2" hidden="1" x14ac:dyDescent="0.25">
      <c r="A274" s="1" t="s">
        <v>678</v>
      </c>
      <c r="B274" s="1" t="s">
        <v>13</v>
      </c>
    </row>
    <row r="275" spans="1:2" hidden="1" x14ac:dyDescent="0.25">
      <c r="A275" s="1" t="s">
        <v>679</v>
      </c>
      <c r="B275" s="1" t="s">
        <v>13</v>
      </c>
    </row>
    <row r="276" spans="1:2" hidden="1" x14ac:dyDescent="0.25">
      <c r="A276" s="1" t="s">
        <v>31</v>
      </c>
      <c r="B276" s="1" t="s">
        <v>13</v>
      </c>
    </row>
    <row r="277" spans="1:2" hidden="1" x14ac:dyDescent="0.25">
      <c r="A277" s="1" t="s">
        <v>405</v>
      </c>
      <c r="B277" s="1" t="s">
        <v>13</v>
      </c>
    </row>
    <row r="278" spans="1:2" hidden="1" x14ac:dyDescent="0.25">
      <c r="A278" s="1" t="s">
        <v>680</v>
      </c>
      <c r="B278" s="1" t="s">
        <v>13</v>
      </c>
    </row>
    <row r="279" spans="1:2" hidden="1" x14ac:dyDescent="0.25">
      <c r="A279" s="1" t="s">
        <v>681</v>
      </c>
      <c r="B279" s="1" t="s">
        <v>13</v>
      </c>
    </row>
    <row r="280" spans="1:2" hidden="1" x14ac:dyDescent="0.25">
      <c r="A280" s="1" t="s">
        <v>682</v>
      </c>
      <c r="B280" s="1" t="s">
        <v>13</v>
      </c>
    </row>
    <row r="281" spans="1:2" hidden="1" x14ac:dyDescent="0.25">
      <c r="A281" s="1" t="s">
        <v>683</v>
      </c>
      <c r="B281" s="1" t="s">
        <v>13</v>
      </c>
    </row>
    <row r="282" spans="1:2" hidden="1" x14ac:dyDescent="0.25">
      <c r="A282" s="1" t="s">
        <v>684</v>
      </c>
      <c r="B282" s="1" t="s">
        <v>18</v>
      </c>
    </row>
    <row r="283" spans="1:2" hidden="1" x14ac:dyDescent="0.25">
      <c r="A283" s="1" t="s">
        <v>77</v>
      </c>
      <c r="B283" s="1" t="s">
        <v>13</v>
      </c>
    </row>
    <row r="284" spans="1:2" hidden="1" x14ac:dyDescent="0.25">
      <c r="A284" s="1" t="s">
        <v>685</v>
      </c>
      <c r="B284" s="1" t="s">
        <v>13</v>
      </c>
    </row>
    <row r="285" spans="1:2" hidden="1" x14ac:dyDescent="0.25">
      <c r="A285" s="1" t="s">
        <v>686</v>
      </c>
      <c r="B285" s="1" t="s">
        <v>13</v>
      </c>
    </row>
    <row r="286" spans="1:2" hidden="1" x14ac:dyDescent="0.25">
      <c r="A286" s="1" t="s">
        <v>687</v>
      </c>
      <c r="B286" s="1" t="s">
        <v>13</v>
      </c>
    </row>
    <row r="287" spans="1:2" hidden="1" x14ac:dyDescent="0.25">
      <c r="A287" s="1" t="s">
        <v>688</v>
      </c>
      <c r="B287" s="1" t="s">
        <v>13</v>
      </c>
    </row>
    <row r="288" spans="1:2" hidden="1" x14ac:dyDescent="0.25">
      <c r="A288" s="1" t="s">
        <v>66</v>
      </c>
      <c r="B288" s="1" t="s">
        <v>13</v>
      </c>
    </row>
    <row r="289" spans="1:2" hidden="1" x14ac:dyDescent="0.25">
      <c r="A289" s="1" t="s">
        <v>408</v>
      </c>
      <c r="B289" s="1" t="s">
        <v>13</v>
      </c>
    </row>
    <row r="290" spans="1:2" hidden="1" x14ac:dyDescent="0.25">
      <c r="A290" s="1" t="s">
        <v>689</v>
      </c>
      <c r="B290" s="1" t="s">
        <v>13</v>
      </c>
    </row>
    <row r="291" spans="1:2" hidden="1" x14ac:dyDescent="0.25">
      <c r="A291" s="1" t="s">
        <v>690</v>
      </c>
      <c r="B291" s="1" t="s">
        <v>13</v>
      </c>
    </row>
    <row r="292" spans="1:2" hidden="1" x14ac:dyDescent="0.25">
      <c r="A292" s="1" t="s">
        <v>691</v>
      </c>
      <c r="B292" s="1" t="s">
        <v>18</v>
      </c>
    </row>
    <row r="293" spans="1:2" hidden="1" x14ac:dyDescent="0.25">
      <c r="A293" s="1" t="s">
        <v>692</v>
      </c>
      <c r="B293" s="1" t="s">
        <v>18</v>
      </c>
    </row>
    <row r="294" spans="1:2" hidden="1" x14ac:dyDescent="0.25">
      <c r="A294" s="1" t="s">
        <v>693</v>
      </c>
      <c r="B294" s="1" t="s">
        <v>18</v>
      </c>
    </row>
    <row r="295" spans="1:2" hidden="1" x14ac:dyDescent="0.25">
      <c r="A295" s="1" t="s">
        <v>694</v>
      </c>
      <c r="B295" s="1" t="s">
        <v>18</v>
      </c>
    </row>
    <row r="296" spans="1:2" hidden="1" x14ac:dyDescent="0.25">
      <c r="A296" s="1" t="s">
        <v>695</v>
      </c>
      <c r="B296" s="1" t="s">
        <v>18</v>
      </c>
    </row>
    <row r="297" spans="1:2" hidden="1" x14ac:dyDescent="0.25">
      <c r="A297" s="1" t="s">
        <v>696</v>
      </c>
      <c r="B297" s="1" t="s">
        <v>13</v>
      </c>
    </row>
    <row r="298" spans="1:2" hidden="1" x14ac:dyDescent="0.25">
      <c r="A298" s="1" t="s">
        <v>697</v>
      </c>
      <c r="B298" s="1" t="s">
        <v>13</v>
      </c>
    </row>
    <row r="299" spans="1:2" hidden="1" x14ac:dyDescent="0.25">
      <c r="A299" s="1" t="s">
        <v>229</v>
      </c>
      <c r="B299" s="1" t="s">
        <v>13</v>
      </c>
    </row>
    <row r="300" spans="1:2" hidden="1" x14ac:dyDescent="0.25">
      <c r="A300" s="1" t="s">
        <v>698</v>
      </c>
      <c r="B300" s="1" t="s">
        <v>13</v>
      </c>
    </row>
    <row r="301" spans="1:2" hidden="1" x14ac:dyDescent="0.25">
      <c r="A301" s="1" t="s">
        <v>410</v>
      </c>
      <c r="B301" s="1" t="s">
        <v>13</v>
      </c>
    </row>
    <row r="302" spans="1:2" hidden="1" x14ac:dyDescent="0.25">
      <c r="A302" s="1" t="s">
        <v>412</v>
      </c>
      <c r="B302" s="1" t="s">
        <v>13</v>
      </c>
    </row>
    <row r="303" spans="1:2" hidden="1" x14ac:dyDescent="0.25">
      <c r="A303" s="1" t="s">
        <v>699</v>
      </c>
      <c r="B303" s="1" t="s">
        <v>13</v>
      </c>
    </row>
    <row r="304" spans="1:2" hidden="1" x14ac:dyDescent="0.25">
      <c r="A304" s="1" t="s">
        <v>700</v>
      </c>
      <c r="B304" s="1" t="s">
        <v>13</v>
      </c>
    </row>
    <row r="305" spans="1:2" hidden="1" x14ac:dyDescent="0.25">
      <c r="A305" s="1" t="s">
        <v>701</v>
      </c>
      <c r="B305" s="1" t="s">
        <v>13</v>
      </c>
    </row>
    <row r="306" spans="1:2" hidden="1" x14ac:dyDescent="0.25">
      <c r="A306" s="1" t="s">
        <v>702</v>
      </c>
      <c r="B306" s="1" t="s">
        <v>13</v>
      </c>
    </row>
    <row r="307" spans="1:2" hidden="1" x14ac:dyDescent="0.25">
      <c r="A307" s="1" t="s">
        <v>703</v>
      </c>
      <c r="B307" s="1" t="s">
        <v>13</v>
      </c>
    </row>
    <row r="308" spans="1:2" hidden="1" x14ac:dyDescent="0.25">
      <c r="A308" s="1" t="s">
        <v>414</v>
      </c>
      <c r="B308" s="1" t="s">
        <v>13</v>
      </c>
    </row>
    <row r="309" spans="1:2" hidden="1" x14ac:dyDescent="0.25">
      <c r="A309" s="1" t="s">
        <v>704</v>
      </c>
      <c r="B309" s="1" t="s">
        <v>13</v>
      </c>
    </row>
    <row r="310" spans="1:2" hidden="1" x14ac:dyDescent="0.25">
      <c r="A310" s="1" t="s">
        <v>705</v>
      </c>
      <c r="B310" s="1" t="s">
        <v>13</v>
      </c>
    </row>
    <row r="311" spans="1:2" hidden="1" x14ac:dyDescent="0.25">
      <c r="A311" s="1" t="s">
        <v>706</v>
      </c>
      <c r="B311" s="1" t="s">
        <v>18</v>
      </c>
    </row>
    <row r="312" spans="1:2" hidden="1" x14ac:dyDescent="0.25">
      <c r="A312" s="1" t="s">
        <v>707</v>
      </c>
      <c r="B312" s="1" t="s">
        <v>13</v>
      </c>
    </row>
    <row r="313" spans="1:2" hidden="1" x14ac:dyDescent="0.25">
      <c r="A313" s="1" t="s">
        <v>236</v>
      </c>
      <c r="B313" s="1" t="s">
        <v>13</v>
      </c>
    </row>
    <row r="314" spans="1:2" hidden="1" x14ac:dyDescent="0.25">
      <c r="A314" s="1" t="s">
        <v>708</v>
      </c>
      <c r="B314" s="1" t="s">
        <v>13</v>
      </c>
    </row>
    <row r="315" spans="1:2" hidden="1" x14ac:dyDescent="0.25">
      <c r="A315" s="1" t="s">
        <v>709</v>
      </c>
      <c r="B315" s="1" t="s">
        <v>13</v>
      </c>
    </row>
    <row r="316" spans="1:2" hidden="1" x14ac:dyDescent="0.25">
      <c r="A316" s="1" t="s">
        <v>416</v>
      </c>
      <c r="B316" s="1" t="s">
        <v>13</v>
      </c>
    </row>
    <row r="317" spans="1:2" hidden="1" x14ac:dyDescent="0.25">
      <c r="A317" s="1" t="s">
        <v>710</v>
      </c>
      <c r="B317" s="1" t="s">
        <v>13</v>
      </c>
    </row>
    <row r="318" spans="1:2" x14ac:dyDescent="0.25">
      <c r="A318" s="1" t="s">
        <v>418</v>
      </c>
      <c r="B318" s="1" t="s">
        <v>46</v>
      </c>
    </row>
    <row r="319" spans="1:2" x14ac:dyDescent="0.25">
      <c r="A319" s="1" t="s">
        <v>711</v>
      </c>
      <c r="B319" s="1" t="s">
        <v>46</v>
      </c>
    </row>
    <row r="320" spans="1:2" x14ac:dyDescent="0.25">
      <c r="A320" s="1" t="s">
        <v>712</v>
      </c>
      <c r="B320" s="1" t="s">
        <v>46</v>
      </c>
    </row>
    <row r="321" spans="1:2" x14ac:dyDescent="0.25">
      <c r="A321" s="1" t="s">
        <v>713</v>
      </c>
      <c r="B321" s="1" t="s">
        <v>46</v>
      </c>
    </row>
    <row r="322" spans="1:2" hidden="1" x14ac:dyDescent="0.25">
      <c r="A322" s="1" t="s">
        <v>88</v>
      </c>
      <c r="B322" s="1" t="s">
        <v>13</v>
      </c>
    </row>
    <row r="323" spans="1:2" hidden="1" x14ac:dyDescent="0.25">
      <c r="A323" s="1" t="s">
        <v>421</v>
      </c>
      <c r="B323" s="1" t="s">
        <v>13</v>
      </c>
    </row>
    <row r="324" spans="1:2" hidden="1" x14ac:dyDescent="0.25">
      <c r="A324" s="1" t="s">
        <v>714</v>
      </c>
      <c r="B324" s="1" t="s">
        <v>18</v>
      </c>
    </row>
    <row r="325" spans="1:2" hidden="1" x14ac:dyDescent="0.25">
      <c r="A325" s="1" t="s">
        <v>715</v>
      </c>
      <c r="B325" s="1" t="s">
        <v>18</v>
      </c>
    </row>
    <row r="326" spans="1:2" hidden="1" x14ac:dyDescent="0.25">
      <c r="A326" s="1" t="s">
        <v>716</v>
      </c>
      <c r="B326" s="1" t="s">
        <v>18</v>
      </c>
    </row>
    <row r="327" spans="1:2" hidden="1" x14ac:dyDescent="0.25">
      <c r="A327" s="1" t="s">
        <v>717</v>
      </c>
      <c r="B327" s="1" t="s">
        <v>18</v>
      </c>
    </row>
    <row r="328" spans="1:2" hidden="1" x14ac:dyDescent="0.25">
      <c r="A328" s="1" t="s">
        <v>718</v>
      </c>
      <c r="B328" s="1" t="s">
        <v>13</v>
      </c>
    </row>
    <row r="329" spans="1:2" hidden="1" x14ac:dyDescent="0.25">
      <c r="A329" s="1" t="s">
        <v>719</v>
      </c>
      <c r="B329" s="1" t="s">
        <v>13</v>
      </c>
    </row>
    <row r="330" spans="1:2" hidden="1" x14ac:dyDescent="0.25">
      <c r="A330" s="1" t="s">
        <v>720</v>
      </c>
      <c r="B330" s="1" t="s">
        <v>13</v>
      </c>
    </row>
    <row r="331" spans="1:2" hidden="1" x14ac:dyDescent="0.25">
      <c r="A331" s="1" t="s">
        <v>22</v>
      </c>
      <c r="B331" s="1" t="s">
        <v>84</v>
      </c>
    </row>
    <row r="332" spans="1:2" hidden="1" x14ac:dyDescent="0.25">
      <c r="A332" s="1" t="s">
        <v>424</v>
      </c>
      <c r="B332" s="1" t="s">
        <v>260</v>
      </c>
    </row>
    <row r="333" spans="1:2" hidden="1" x14ac:dyDescent="0.25">
      <c r="A333" s="1" t="s">
        <v>721</v>
      </c>
      <c r="B333" s="1" t="s">
        <v>84</v>
      </c>
    </row>
    <row r="334" spans="1:2" hidden="1" x14ac:dyDescent="0.25">
      <c r="A334" s="1" t="s">
        <v>722</v>
      </c>
      <c r="B334" s="1" t="s">
        <v>84</v>
      </c>
    </row>
    <row r="335" spans="1:2" hidden="1" x14ac:dyDescent="0.25">
      <c r="A335" s="1" t="s">
        <v>723</v>
      </c>
      <c r="B335" s="1" t="s">
        <v>84</v>
      </c>
    </row>
    <row r="336" spans="1:2" hidden="1" x14ac:dyDescent="0.25">
      <c r="A336" s="1" t="s">
        <v>426</v>
      </c>
      <c r="B336" s="1" t="s">
        <v>260</v>
      </c>
    </row>
    <row r="337" spans="1:2" hidden="1" x14ac:dyDescent="0.25">
      <c r="A337" s="1" t="s">
        <v>724</v>
      </c>
      <c r="B337" s="1" t="s">
        <v>260</v>
      </c>
    </row>
    <row r="338" spans="1:2" hidden="1" x14ac:dyDescent="0.25">
      <c r="A338" s="1" t="s">
        <v>725</v>
      </c>
      <c r="B338" s="1" t="s">
        <v>260</v>
      </c>
    </row>
    <row r="339" spans="1:2" hidden="1" x14ac:dyDescent="0.25">
      <c r="A339" s="1" t="s">
        <v>726</v>
      </c>
      <c r="B339" s="1" t="s">
        <v>260</v>
      </c>
    </row>
    <row r="340" spans="1:2" hidden="1" x14ac:dyDescent="0.25">
      <c r="A340" s="1" t="s">
        <v>428</v>
      </c>
      <c r="B340" s="1" t="s">
        <v>260</v>
      </c>
    </row>
    <row r="341" spans="1:2" hidden="1" x14ac:dyDescent="0.25">
      <c r="A341" s="1" t="s">
        <v>113</v>
      </c>
      <c r="B341" s="1" t="s">
        <v>260</v>
      </c>
    </row>
    <row r="342" spans="1:2" hidden="1" x14ac:dyDescent="0.25">
      <c r="A342" s="1" t="s">
        <v>727</v>
      </c>
      <c r="B342" s="1" t="s">
        <v>260</v>
      </c>
    </row>
    <row r="343" spans="1:2" hidden="1" x14ac:dyDescent="0.25">
      <c r="A343" s="1" t="s">
        <v>728</v>
      </c>
      <c r="B343" s="1" t="s">
        <v>260</v>
      </c>
    </row>
    <row r="344" spans="1:2" hidden="1" x14ac:dyDescent="0.25">
      <c r="A344" s="1" t="s">
        <v>729</v>
      </c>
      <c r="B344" s="1" t="s">
        <v>260</v>
      </c>
    </row>
    <row r="345" spans="1:2" hidden="1" x14ac:dyDescent="0.25">
      <c r="A345" s="1" t="s">
        <v>86</v>
      </c>
      <c r="B345" s="1" t="s">
        <v>260</v>
      </c>
    </row>
    <row r="346" spans="1:2" hidden="1" x14ac:dyDescent="0.25">
      <c r="A346" s="1" t="s">
        <v>108</v>
      </c>
      <c r="B346" s="1" t="s">
        <v>18</v>
      </c>
    </row>
    <row r="347" spans="1:2" hidden="1" x14ac:dyDescent="0.25">
      <c r="A347" s="1" t="s">
        <v>730</v>
      </c>
      <c r="B347" s="1" t="s">
        <v>18</v>
      </c>
    </row>
    <row r="348" spans="1:2" hidden="1" x14ac:dyDescent="0.25">
      <c r="A348" s="1" t="s">
        <v>731</v>
      </c>
      <c r="B348" s="1" t="s">
        <v>18</v>
      </c>
    </row>
    <row r="349" spans="1:2" hidden="1" x14ac:dyDescent="0.25">
      <c r="A349" s="1" t="s">
        <v>732</v>
      </c>
      <c r="B349" s="1" t="s">
        <v>18</v>
      </c>
    </row>
    <row r="350" spans="1:2" hidden="1" x14ac:dyDescent="0.25">
      <c r="A350" s="1" t="s">
        <v>733</v>
      </c>
      <c r="B350" s="1" t="s">
        <v>18</v>
      </c>
    </row>
    <row r="351" spans="1:2" hidden="1" x14ac:dyDescent="0.25">
      <c r="A351" s="1" t="s">
        <v>734</v>
      </c>
      <c r="B351" s="1" t="s">
        <v>18</v>
      </c>
    </row>
    <row r="352" spans="1:2" hidden="1" x14ac:dyDescent="0.25">
      <c r="A352" s="1" t="s">
        <v>735</v>
      </c>
      <c r="B352" s="1" t="s">
        <v>260</v>
      </c>
    </row>
    <row r="353" spans="1:2" hidden="1" x14ac:dyDescent="0.25">
      <c r="A353" s="1" t="s">
        <v>736</v>
      </c>
      <c r="B353" s="1" t="s">
        <v>260</v>
      </c>
    </row>
    <row r="354" spans="1:2" hidden="1" x14ac:dyDescent="0.25">
      <c r="A354" s="1" t="s">
        <v>737</v>
      </c>
      <c r="B354" s="1" t="s">
        <v>260</v>
      </c>
    </row>
    <row r="355" spans="1:2" hidden="1" x14ac:dyDescent="0.25">
      <c r="A355" s="1" t="s">
        <v>171</v>
      </c>
      <c r="B355" s="1" t="s">
        <v>260</v>
      </c>
    </row>
    <row r="356" spans="1:2" hidden="1" x14ac:dyDescent="0.25">
      <c r="A356" s="1" t="s">
        <v>738</v>
      </c>
      <c r="B356" s="1" t="s">
        <v>18</v>
      </c>
    </row>
    <row r="357" spans="1:2" hidden="1" x14ac:dyDescent="0.25">
      <c r="A357" s="1" t="s">
        <v>739</v>
      </c>
      <c r="B357" s="1" t="s">
        <v>18</v>
      </c>
    </row>
    <row r="358" spans="1:2" hidden="1" x14ac:dyDescent="0.25">
      <c r="A358" s="1" t="s">
        <v>740</v>
      </c>
      <c r="B358" s="1" t="s">
        <v>18</v>
      </c>
    </row>
    <row r="359" spans="1:2" hidden="1" x14ac:dyDescent="0.25">
      <c r="A359" s="1" t="s">
        <v>741</v>
      </c>
      <c r="B359" s="1" t="s">
        <v>18</v>
      </c>
    </row>
    <row r="360" spans="1:2" hidden="1" x14ac:dyDescent="0.25">
      <c r="A360" s="1" t="s">
        <v>742</v>
      </c>
      <c r="B360" s="1" t="s">
        <v>18</v>
      </c>
    </row>
    <row r="361" spans="1:2" hidden="1" x14ac:dyDescent="0.25">
      <c r="A361" s="1" t="s">
        <v>743</v>
      </c>
      <c r="B361" s="1" t="s">
        <v>18</v>
      </c>
    </row>
    <row r="362" spans="1:2" hidden="1" x14ac:dyDescent="0.25">
      <c r="A362" s="1" t="s">
        <v>744</v>
      </c>
      <c r="B362" s="1" t="s">
        <v>18</v>
      </c>
    </row>
    <row r="363" spans="1:2" hidden="1" x14ac:dyDescent="0.25">
      <c r="A363" s="1" t="s">
        <v>745</v>
      </c>
      <c r="B363" s="1" t="s">
        <v>18</v>
      </c>
    </row>
    <row r="364" spans="1:2" hidden="1" x14ac:dyDescent="0.25">
      <c r="A364" s="1" t="s">
        <v>746</v>
      </c>
      <c r="B364" s="1" t="s">
        <v>18</v>
      </c>
    </row>
    <row r="365" spans="1:2" hidden="1" x14ac:dyDescent="0.25">
      <c r="A365" s="1" t="s">
        <v>747</v>
      </c>
      <c r="B365" s="1" t="s">
        <v>18</v>
      </c>
    </row>
    <row r="366" spans="1:2" hidden="1" x14ac:dyDescent="0.25">
      <c r="A366" s="1" t="s">
        <v>51</v>
      </c>
      <c r="B366" s="1" t="s">
        <v>18</v>
      </c>
    </row>
    <row r="367" spans="1:2" hidden="1" x14ac:dyDescent="0.25">
      <c r="A367" s="1" t="s">
        <v>748</v>
      </c>
      <c r="B367" s="1" t="s">
        <v>18</v>
      </c>
    </row>
    <row r="368" spans="1:2" hidden="1" x14ac:dyDescent="0.25">
      <c r="A368" s="1" t="s">
        <v>749</v>
      </c>
      <c r="B368" s="1" t="s">
        <v>18</v>
      </c>
    </row>
    <row r="369" spans="1:2" hidden="1" x14ac:dyDescent="0.25">
      <c r="A369" s="1" t="s">
        <v>750</v>
      </c>
      <c r="B369" s="1" t="s">
        <v>260</v>
      </c>
    </row>
    <row r="370" spans="1:2" hidden="1" x14ac:dyDescent="0.25">
      <c r="A370" s="1" t="s">
        <v>751</v>
      </c>
      <c r="B370" s="1" t="s">
        <v>260</v>
      </c>
    </row>
    <row r="371" spans="1:2" hidden="1" x14ac:dyDescent="0.25">
      <c r="A371" s="1" t="s">
        <v>752</v>
      </c>
      <c r="B371" s="1" t="s">
        <v>260</v>
      </c>
    </row>
    <row r="372" spans="1:2" x14ac:dyDescent="0.25">
      <c r="A372" s="1" t="s">
        <v>1</v>
      </c>
      <c r="B372" s="1" t="s">
        <v>5</v>
      </c>
    </row>
    <row r="373" spans="1:2" x14ac:dyDescent="0.25">
      <c r="A373" s="1" t="s">
        <v>753</v>
      </c>
      <c r="B373" s="1" t="s">
        <v>5</v>
      </c>
    </row>
    <row r="374" spans="1:2" x14ac:dyDescent="0.25">
      <c r="A374" s="1" t="s">
        <v>754</v>
      </c>
      <c r="B374" s="1" t="s">
        <v>5</v>
      </c>
    </row>
    <row r="375" spans="1:2" x14ac:dyDescent="0.25">
      <c r="A375" s="1" t="s">
        <v>279</v>
      </c>
      <c r="B375" s="1" t="s">
        <v>5</v>
      </c>
    </row>
    <row r="376" spans="1:2" x14ac:dyDescent="0.25">
      <c r="A376" s="1" t="s">
        <v>434</v>
      </c>
      <c r="B376" s="1" t="s">
        <v>5</v>
      </c>
    </row>
    <row r="377" spans="1:2" x14ac:dyDescent="0.25">
      <c r="A377" s="1" t="s">
        <v>4</v>
      </c>
      <c r="B377" s="1" t="s">
        <v>5</v>
      </c>
    </row>
    <row r="378" spans="1:2" hidden="1" x14ac:dyDescent="0.25">
      <c r="A378" s="1" t="s">
        <v>755</v>
      </c>
      <c r="B378" s="1" t="s">
        <v>18</v>
      </c>
    </row>
    <row r="379" spans="1:2" hidden="1" x14ac:dyDescent="0.25">
      <c r="A379" s="1" t="s">
        <v>756</v>
      </c>
      <c r="B379" s="1" t="s">
        <v>18</v>
      </c>
    </row>
    <row r="380" spans="1:2" hidden="1" x14ac:dyDescent="0.25">
      <c r="A380" s="1" t="s">
        <v>757</v>
      </c>
      <c r="B380" s="1" t="s">
        <v>18</v>
      </c>
    </row>
    <row r="381" spans="1:2" hidden="1" x14ac:dyDescent="0.25">
      <c r="A381" s="1" t="s">
        <v>758</v>
      </c>
      <c r="B381" s="1" t="s">
        <v>18</v>
      </c>
    </row>
    <row r="382" spans="1:2" x14ac:dyDescent="0.25">
      <c r="A382" s="1" t="s">
        <v>759</v>
      </c>
      <c r="B382" s="1" t="s">
        <v>5</v>
      </c>
    </row>
    <row r="383" spans="1:2" x14ac:dyDescent="0.25">
      <c r="A383" s="1" t="s">
        <v>760</v>
      </c>
      <c r="B383" s="1" t="s">
        <v>5</v>
      </c>
    </row>
    <row r="384" spans="1:2" x14ac:dyDescent="0.25">
      <c r="A384" s="1" t="s">
        <v>761</v>
      </c>
      <c r="B384" s="1" t="s">
        <v>5</v>
      </c>
    </row>
    <row r="385" spans="1:2" x14ac:dyDescent="0.25">
      <c r="A385" s="1" t="s">
        <v>762</v>
      </c>
      <c r="B385" s="1" t="s">
        <v>5</v>
      </c>
    </row>
    <row r="386" spans="1:2" x14ac:dyDescent="0.25">
      <c r="A386" s="1" t="s">
        <v>189</v>
      </c>
      <c r="B386" s="1" t="s">
        <v>5</v>
      </c>
    </row>
    <row r="387" spans="1:2" x14ac:dyDescent="0.25">
      <c r="A387" s="1" t="s">
        <v>763</v>
      </c>
      <c r="B387" s="1" t="s">
        <v>5</v>
      </c>
    </row>
    <row r="388" spans="1:2" x14ac:dyDescent="0.25">
      <c r="A388" s="1" t="s">
        <v>764</v>
      </c>
      <c r="B388" s="1" t="s">
        <v>5</v>
      </c>
    </row>
    <row r="389" spans="1:2" x14ac:dyDescent="0.25">
      <c r="A389" s="1" t="s">
        <v>212</v>
      </c>
      <c r="B389" s="1" t="s">
        <v>5</v>
      </c>
    </row>
    <row r="390" spans="1:2" x14ac:dyDescent="0.25">
      <c r="A390" s="1" t="s">
        <v>439</v>
      </c>
      <c r="B390" s="1" t="s">
        <v>5</v>
      </c>
    </row>
    <row r="391" spans="1:2" hidden="1" x14ac:dyDescent="0.25">
      <c r="A391" s="1" t="s">
        <v>161</v>
      </c>
      <c r="B391" s="1" t="s">
        <v>18</v>
      </c>
    </row>
    <row r="392" spans="1:2" hidden="1" x14ac:dyDescent="0.25">
      <c r="A392" s="1" t="s">
        <v>765</v>
      </c>
      <c r="B392" s="1" t="s">
        <v>18</v>
      </c>
    </row>
    <row r="393" spans="1:2" hidden="1" x14ac:dyDescent="0.25">
      <c r="A393" s="1" t="s">
        <v>766</v>
      </c>
      <c r="B393" s="1" t="s">
        <v>18</v>
      </c>
    </row>
    <row r="394" spans="1:2" hidden="1" x14ac:dyDescent="0.25">
      <c r="A394" s="1" t="s">
        <v>767</v>
      </c>
      <c r="B394" s="1" t="s">
        <v>18</v>
      </c>
    </row>
    <row r="395" spans="1:2" hidden="1" x14ac:dyDescent="0.25">
      <c r="A395" s="1" t="s">
        <v>768</v>
      </c>
      <c r="B395" s="1" t="s">
        <v>18</v>
      </c>
    </row>
    <row r="396" spans="1:2" hidden="1" x14ac:dyDescent="0.25">
      <c r="A396" s="1" t="s">
        <v>17</v>
      </c>
      <c r="B396" s="1" t="s">
        <v>18</v>
      </c>
    </row>
    <row r="397" spans="1:2" hidden="1" x14ac:dyDescent="0.25">
      <c r="A397" s="1" t="s">
        <v>769</v>
      </c>
      <c r="B397" s="1" t="s">
        <v>18</v>
      </c>
    </row>
    <row r="398" spans="1:2" hidden="1" x14ac:dyDescent="0.25">
      <c r="A398" s="1" t="s">
        <v>770</v>
      </c>
      <c r="B398" s="1" t="s">
        <v>18</v>
      </c>
    </row>
    <row r="399" spans="1:2" hidden="1" x14ac:dyDescent="0.25">
      <c r="A399" s="1" t="s">
        <v>771</v>
      </c>
      <c r="B399" s="1" t="s">
        <v>18</v>
      </c>
    </row>
    <row r="400" spans="1:2" hidden="1" x14ac:dyDescent="0.25">
      <c r="A400" s="1" t="s">
        <v>772</v>
      </c>
      <c r="B400" s="1" t="s">
        <v>18</v>
      </c>
    </row>
    <row r="401" spans="1:2" hidden="1" x14ac:dyDescent="0.25">
      <c r="A401" s="1" t="s">
        <v>65</v>
      </c>
      <c r="B401" s="1" t="s">
        <v>18</v>
      </c>
    </row>
    <row r="402" spans="1:2" hidden="1" x14ac:dyDescent="0.25">
      <c r="A402" s="1" t="s">
        <v>773</v>
      </c>
      <c r="B402" s="1" t="s">
        <v>18</v>
      </c>
    </row>
    <row r="403" spans="1:2" hidden="1" x14ac:dyDescent="0.25">
      <c r="A403" s="1" t="s">
        <v>774</v>
      </c>
      <c r="B403" s="1" t="s">
        <v>18</v>
      </c>
    </row>
    <row r="404" spans="1:2" hidden="1" x14ac:dyDescent="0.25">
      <c r="A404" s="1" t="s">
        <v>775</v>
      </c>
      <c r="B404" s="1" t="s">
        <v>18</v>
      </c>
    </row>
    <row r="405" spans="1:2" hidden="1" x14ac:dyDescent="0.25">
      <c r="A405" s="1" t="s">
        <v>35</v>
      </c>
      <c r="B405" s="1" t="s">
        <v>10</v>
      </c>
    </row>
    <row r="406" spans="1:2" hidden="1" x14ac:dyDescent="0.25">
      <c r="A406" s="1" t="s">
        <v>776</v>
      </c>
      <c r="B406" s="1" t="s">
        <v>10</v>
      </c>
    </row>
    <row r="407" spans="1:2" hidden="1" x14ac:dyDescent="0.25">
      <c r="A407" s="1" t="s">
        <v>68</v>
      </c>
      <c r="B407" s="1" t="s">
        <v>10</v>
      </c>
    </row>
    <row r="408" spans="1:2" hidden="1" x14ac:dyDescent="0.25">
      <c r="A408" s="1" t="s">
        <v>777</v>
      </c>
      <c r="B408" s="1" t="s">
        <v>10</v>
      </c>
    </row>
    <row r="409" spans="1:2" hidden="1" x14ac:dyDescent="0.25">
      <c r="A409" s="1" t="s">
        <v>778</v>
      </c>
      <c r="B409" s="1" t="s">
        <v>10</v>
      </c>
    </row>
    <row r="410" spans="1:2" hidden="1" x14ac:dyDescent="0.25">
      <c r="A410" s="1" t="s">
        <v>779</v>
      </c>
      <c r="B410" s="1" t="s">
        <v>10</v>
      </c>
    </row>
    <row r="411" spans="1:2" hidden="1" x14ac:dyDescent="0.25">
      <c r="A411" s="1" t="s">
        <v>780</v>
      </c>
      <c r="B411" s="1" t="s">
        <v>10</v>
      </c>
    </row>
    <row r="412" spans="1:2" hidden="1" x14ac:dyDescent="0.25">
      <c r="A412" s="1" t="s">
        <v>781</v>
      </c>
      <c r="B412" s="1" t="s">
        <v>10</v>
      </c>
    </row>
    <row r="413" spans="1:2" hidden="1" x14ac:dyDescent="0.25">
      <c r="A413" s="1" t="s">
        <v>782</v>
      </c>
      <c r="B413" s="1" t="s">
        <v>10</v>
      </c>
    </row>
    <row r="414" spans="1:2" hidden="1" x14ac:dyDescent="0.25">
      <c r="A414" s="1" t="s">
        <v>783</v>
      </c>
      <c r="B414" s="1" t="s">
        <v>10</v>
      </c>
    </row>
    <row r="415" spans="1:2" hidden="1" x14ac:dyDescent="0.25">
      <c r="A415" s="1" t="s">
        <v>784</v>
      </c>
      <c r="B415" s="1" t="s">
        <v>10</v>
      </c>
    </row>
    <row r="416" spans="1:2" hidden="1" x14ac:dyDescent="0.25">
      <c r="A416" s="1" t="s">
        <v>174</v>
      </c>
      <c r="B416" s="1" t="s">
        <v>10</v>
      </c>
    </row>
    <row r="417" spans="1:2" hidden="1" x14ac:dyDescent="0.25">
      <c r="A417" s="1" t="s">
        <v>785</v>
      </c>
      <c r="B417" s="1" t="s">
        <v>10</v>
      </c>
    </row>
    <row r="418" spans="1:2" hidden="1" x14ac:dyDescent="0.25">
      <c r="A418" s="1" t="s">
        <v>786</v>
      </c>
      <c r="B418" s="1" t="s">
        <v>10</v>
      </c>
    </row>
    <row r="419" spans="1:2" hidden="1" x14ac:dyDescent="0.25">
      <c r="A419" s="1" t="s">
        <v>787</v>
      </c>
      <c r="B419" s="1" t="s">
        <v>10</v>
      </c>
    </row>
    <row r="420" spans="1:2" hidden="1" x14ac:dyDescent="0.25">
      <c r="A420" s="1" t="s">
        <v>9</v>
      </c>
      <c r="B420" s="1" t="s">
        <v>10</v>
      </c>
    </row>
    <row r="421" spans="1:2" hidden="1" x14ac:dyDescent="0.25">
      <c r="A421" s="1" t="s">
        <v>76</v>
      </c>
      <c r="B421" s="1" t="s">
        <v>10</v>
      </c>
    </row>
    <row r="422" spans="1:2" hidden="1" x14ac:dyDescent="0.25">
      <c r="A422" s="1" t="s">
        <v>788</v>
      </c>
      <c r="B422" s="1" t="s">
        <v>10</v>
      </c>
    </row>
    <row r="423" spans="1:2" hidden="1" x14ac:dyDescent="0.25">
      <c r="A423" s="1" t="s">
        <v>789</v>
      </c>
      <c r="B423" s="1" t="s">
        <v>10</v>
      </c>
    </row>
    <row r="424" spans="1:2" hidden="1" x14ac:dyDescent="0.25">
      <c r="A424" s="1" t="s">
        <v>790</v>
      </c>
      <c r="B424" s="1" t="s">
        <v>10</v>
      </c>
    </row>
    <row r="425" spans="1:2" hidden="1" x14ac:dyDescent="0.25">
      <c r="A425" s="1" t="s">
        <v>127</v>
      </c>
      <c r="B425" s="1" t="s">
        <v>10</v>
      </c>
    </row>
    <row r="426" spans="1:2" hidden="1" x14ac:dyDescent="0.25">
      <c r="A426" s="1" t="s">
        <v>99</v>
      </c>
      <c r="B426" s="1" t="s">
        <v>10</v>
      </c>
    </row>
    <row r="427" spans="1:2" hidden="1" x14ac:dyDescent="0.25">
      <c r="A427" s="1" t="s">
        <v>791</v>
      </c>
      <c r="B427" s="1" t="s">
        <v>10</v>
      </c>
    </row>
    <row r="428" spans="1:2" hidden="1" x14ac:dyDescent="0.25">
      <c r="A428" s="1" t="s">
        <v>792</v>
      </c>
      <c r="B428" s="1" t="s">
        <v>10</v>
      </c>
    </row>
    <row r="429" spans="1:2" hidden="1" x14ac:dyDescent="0.25">
      <c r="A429" s="1" t="s">
        <v>793</v>
      </c>
      <c r="B429" s="1" t="s">
        <v>10</v>
      </c>
    </row>
    <row r="430" spans="1:2" hidden="1" x14ac:dyDescent="0.25">
      <c r="A430" s="1" t="s">
        <v>794</v>
      </c>
      <c r="B430" s="1" t="s">
        <v>10</v>
      </c>
    </row>
    <row r="431" spans="1:2" hidden="1" x14ac:dyDescent="0.25">
      <c r="A431" s="1" t="s">
        <v>795</v>
      </c>
      <c r="B431" s="1" t="s">
        <v>10</v>
      </c>
    </row>
    <row r="432" spans="1:2" hidden="1" x14ac:dyDescent="0.25">
      <c r="A432" s="1" t="s">
        <v>196</v>
      </c>
      <c r="B432" s="1" t="s">
        <v>10</v>
      </c>
    </row>
    <row r="433" spans="1:2" hidden="1" x14ac:dyDescent="0.25">
      <c r="A433" s="1" t="s">
        <v>796</v>
      </c>
      <c r="B433" s="1" t="s">
        <v>10</v>
      </c>
    </row>
    <row r="434" spans="1:2" hidden="1" x14ac:dyDescent="0.25">
      <c r="A434" s="1" t="s">
        <v>797</v>
      </c>
      <c r="B434" s="1" t="s">
        <v>10</v>
      </c>
    </row>
    <row r="435" spans="1:2" hidden="1" x14ac:dyDescent="0.25">
      <c r="A435" s="1" t="s">
        <v>798</v>
      </c>
      <c r="B435" s="1" t="s">
        <v>10</v>
      </c>
    </row>
    <row r="436" spans="1:2" hidden="1" x14ac:dyDescent="0.25">
      <c r="A436" s="1" t="s">
        <v>83</v>
      </c>
      <c r="B436" s="1" t="s">
        <v>84</v>
      </c>
    </row>
    <row r="437" spans="1:2" hidden="1" x14ac:dyDescent="0.25">
      <c r="A437" s="1" t="s">
        <v>799</v>
      </c>
      <c r="B437" s="1" t="s">
        <v>18</v>
      </c>
    </row>
    <row r="438" spans="1:2" hidden="1" x14ac:dyDescent="0.25">
      <c r="A438" s="1" t="s">
        <v>74</v>
      </c>
      <c r="B438" s="1" t="s">
        <v>2</v>
      </c>
    </row>
    <row r="439" spans="1:2" hidden="1" x14ac:dyDescent="0.25">
      <c r="A439" s="1" t="s">
        <v>800</v>
      </c>
      <c r="B439" s="1" t="s">
        <v>18</v>
      </c>
    </row>
    <row r="440" spans="1:2" hidden="1" x14ac:dyDescent="0.25">
      <c r="A440" s="1" t="s">
        <v>801</v>
      </c>
      <c r="B440" s="1" t="s">
        <v>18</v>
      </c>
    </row>
    <row r="441" spans="1:2" hidden="1" x14ac:dyDescent="0.25">
      <c r="A441" s="1" t="s">
        <v>802</v>
      </c>
      <c r="B441" s="1" t="s">
        <v>18</v>
      </c>
    </row>
    <row r="442" spans="1:2" hidden="1" x14ac:dyDescent="0.25">
      <c r="A442" s="1" t="s">
        <v>803</v>
      </c>
      <c r="B442" s="1" t="s">
        <v>18</v>
      </c>
    </row>
    <row r="443" spans="1:2" hidden="1" x14ac:dyDescent="0.25">
      <c r="A443" s="1" t="s">
        <v>804</v>
      </c>
      <c r="B443" s="1" t="s">
        <v>2</v>
      </c>
    </row>
    <row r="444" spans="1:2" hidden="1" x14ac:dyDescent="0.25">
      <c r="A444" s="1" t="s">
        <v>805</v>
      </c>
      <c r="B444" s="1" t="s">
        <v>18</v>
      </c>
    </row>
    <row r="445" spans="1:2" hidden="1" x14ac:dyDescent="0.25">
      <c r="A445" s="1" t="s">
        <v>806</v>
      </c>
      <c r="B445" s="1" t="s">
        <v>18</v>
      </c>
    </row>
    <row r="446" spans="1:2" hidden="1" x14ac:dyDescent="0.25">
      <c r="A446" s="1" t="s">
        <v>807</v>
      </c>
      <c r="B446" s="1" t="s">
        <v>84</v>
      </c>
    </row>
    <row r="447" spans="1:2" hidden="1" x14ac:dyDescent="0.25">
      <c r="A447" s="1" t="s">
        <v>808</v>
      </c>
      <c r="B447" s="1" t="s">
        <v>84</v>
      </c>
    </row>
    <row r="448" spans="1:2" hidden="1" x14ac:dyDescent="0.25">
      <c r="A448" s="1" t="s">
        <v>259</v>
      </c>
      <c r="B448" s="1" t="s">
        <v>84</v>
      </c>
    </row>
    <row r="449" spans="1:2" hidden="1" x14ac:dyDescent="0.25">
      <c r="A449" s="1" t="s">
        <v>455</v>
      </c>
      <c r="B449" s="1" t="s">
        <v>260</v>
      </c>
    </row>
    <row r="450" spans="1:2" hidden="1" x14ac:dyDescent="0.25">
      <c r="A450" s="1" t="s">
        <v>809</v>
      </c>
      <c r="B450" s="1" t="s">
        <v>260</v>
      </c>
    </row>
    <row r="451" spans="1:2" hidden="1" x14ac:dyDescent="0.25">
      <c r="A451" s="1" t="s">
        <v>810</v>
      </c>
      <c r="B451" s="1" t="s">
        <v>260</v>
      </c>
    </row>
    <row r="452" spans="1:2" hidden="1" x14ac:dyDescent="0.25">
      <c r="A452" s="1" t="s">
        <v>119</v>
      </c>
      <c r="B452" s="1" t="s">
        <v>260</v>
      </c>
    </row>
    <row r="453" spans="1:2" hidden="1" x14ac:dyDescent="0.25">
      <c r="A453" s="1" t="s">
        <v>811</v>
      </c>
      <c r="B453" s="1" t="s">
        <v>18</v>
      </c>
    </row>
    <row r="454" spans="1:2" hidden="1" x14ac:dyDescent="0.25">
      <c r="A454" s="1" t="s">
        <v>812</v>
      </c>
      <c r="B454" s="1" t="s">
        <v>18</v>
      </c>
    </row>
    <row r="455" spans="1:2" hidden="1" x14ac:dyDescent="0.25">
      <c r="A455" s="1" t="s">
        <v>813</v>
      </c>
      <c r="B455" s="1" t="s">
        <v>18</v>
      </c>
    </row>
    <row r="456" spans="1:2" hidden="1" x14ac:dyDescent="0.25">
      <c r="A456" s="1" t="s">
        <v>814</v>
      </c>
      <c r="B456" s="1" t="s">
        <v>18</v>
      </c>
    </row>
    <row r="457" spans="1:2" hidden="1" x14ac:dyDescent="0.25">
      <c r="A457" s="1" t="s">
        <v>815</v>
      </c>
      <c r="B457" s="1" t="s">
        <v>18</v>
      </c>
    </row>
    <row r="458" spans="1:2" hidden="1" x14ac:dyDescent="0.25">
      <c r="A458" s="1" t="s">
        <v>816</v>
      </c>
      <c r="B458" s="1" t="s">
        <v>18</v>
      </c>
    </row>
    <row r="459" spans="1:2" hidden="1" x14ac:dyDescent="0.25">
      <c r="A459" s="1" t="s">
        <v>817</v>
      </c>
      <c r="B459" s="1" t="s">
        <v>260</v>
      </c>
    </row>
    <row r="460" spans="1:2" hidden="1" x14ac:dyDescent="0.25">
      <c r="A460" s="1" t="s">
        <v>818</v>
      </c>
      <c r="B460" s="1" t="s">
        <v>260</v>
      </c>
    </row>
    <row r="461" spans="1:2" hidden="1" x14ac:dyDescent="0.25">
      <c r="A461" s="1" t="s">
        <v>819</v>
      </c>
      <c r="B461" s="1" t="s">
        <v>260</v>
      </c>
    </row>
    <row r="462" spans="1:2" x14ac:dyDescent="0.25">
      <c r="A462" s="1" t="s">
        <v>458</v>
      </c>
      <c r="B462" s="1" t="s">
        <v>5</v>
      </c>
    </row>
    <row r="463" spans="1:2" x14ac:dyDescent="0.25">
      <c r="A463" s="1" t="s">
        <v>820</v>
      </c>
      <c r="B463" s="1" t="s">
        <v>5</v>
      </c>
    </row>
    <row r="464" spans="1:2" x14ac:dyDescent="0.25">
      <c r="A464" s="1" t="s">
        <v>460</v>
      </c>
      <c r="B464" s="1" t="s">
        <v>5</v>
      </c>
    </row>
    <row r="465" spans="1:2" hidden="1" x14ac:dyDescent="0.25">
      <c r="A465" s="1" t="s">
        <v>821</v>
      </c>
      <c r="B465" s="1" t="s">
        <v>18</v>
      </c>
    </row>
    <row r="466" spans="1:2" hidden="1" x14ac:dyDescent="0.25">
      <c r="A466" s="1" t="s">
        <v>822</v>
      </c>
      <c r="B466" s="1" t="s">
        <v>18</v>
      </c>
    </row>
    <row r="467" spans="1:2" hidden="1" x14ac:dyDescent="0.25">
      <c r="A467" s="1" t="s">
        <v>823</v>
      </c>
      <c r="B467" s="1" t="s">
        <v>18</v>
      </c>
    </row>
    <row r="468" spans="1:2" hidden="1" x14ac:dyDescent="0.25">
      <c r="A468" s="1" t="s">
        <v>824</v>
      </c>
      <c r="B468" s="1" t="s">
        <v>18</v>
      </c>
    </row>
    <row r="469" spans="1:2" hidden="1" x14ac:dyDescent="0.25">
      <c r="A469" s="1" t="s">
        <v>825</v>
      </c>
      <c r="B469" s="1" t="s">
        <v>18</v>
      </c>
    </row>
    <row r="470" spans="1:2" hidden="1" x14ac:dyDescent="0.25">
      <c r="A470" s="1" t="s">
        <v>826</v>
      </c>
      <c r="B470" s="1" t="s">
        <v>18</v>
      </c>
    </row>
    <row r="471" spans="1:2" hidden="1" x14ac:dyDescent="0.25">
      <c r="A471" s="1" t="s">
        <v>827</v>
      </c>
      <c r="B471" s="1" t="s">
        <v>18</v>
      </c>
    </row>
    <row r="472" spans="1:2" hidden="1" x14ac:dyDescent="0.25">
      <c r="A472" s="1" t="s">
        <v>828</v>
      </c>
      <c r="B472" s="1" t="s">
        <v>18</v>
      </c>
    </row>
    <row r="473" spans="1:2" hidden="1" x14ac:dyDescent="0.25">
      <c r="A473" s="1" t="s">
        <v>829</v>
      </c>
      <c r="B473" s="1" t="s">
        <v>18</v>
      </c>
    </row>
    <row r="474" spans="1:2" x14ac:dyDescent="0.25">
      <c r="A474" s="1" t="s">
        <v>830</v>
      </c>
      <c r="B474" s="1" t="s">
        <v>5</v>
      </c>
    </row>
    <row r="475" spans="1:2" x14ac:dyDescent="0.25">
      <c r="A475" s="1" t="s">
        <v>831</v>
      </c>
      <c r="B475" s="1" t="s">
        <v>5</v>
      </c>
    </row>
    <row r="476" spans="1:2" x14ac:dyDescent="0.25">
      <c r="A476" s="1" t="s">
        <v>832</v>
      </c>
      <c r="B476" s="1" t="s">
        <v>5</v>
      </c>
    </row>
    <row r="477" spans="1:2" hidden="1" x14ac:dyDescent="0.25">
      <c r="A477" s="1" t="s">
        <v>37</v>
      </c>
      <c r="B477" s="1" t="s">
        <v>38</v>
      </c>
    </row>
    <row r="479" spans="1:2" x14ac:dyDescent="0.25">
      <c r="A479" s="24" t="s">
        <v>851</v>
      </c>
      <c r="B479" s="24" t="s">
        <v>852</v>
      </c>
    </row>
    <row r="480" spans="1:2" x14ac:dyDescent="0.25">
      <c r="A480" s="1" t="s">
        <v>340</v>
      </c>
      <c r="B480" s="1" t="s">
        <v>853</v>
      </c>
    </row>
  </sheetData>
  <autoFilter ref="A5:B477">
    <filterColumn colId="1">
      <filters>
        <filter val="ADJ"/>
        <filter val="ADV"/>
      </filters>
    </filterColumn>
  </autoFilter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Comparativa ce01</vt:lpstr>
      <vt:lpstr>gold tagset</vt:lpstr>
      <vt:lpstr>Brown tagset</vt:lpstr>
      <vt:lpstr>Universal tagset</vt:lpstr>
      <vt:lpstr>Brown-Universal mapping</vt:lpstr>
      <vt:lpstr>'Comparativa ce01'!_200111_1926_Perceptron_Brown</vt:lpstr>
      <vt:lpstr>'Comparativa ce01'!_200112_2142_TnT_Brown__1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2020-01-12T19:05:48Z</dcterms:created>
  <dcterms:modified xsi:type="dcterms:W3CDTF">2020-02-06T23:41:26Z</dcterms:modified>
</cp:coreProperties>
</file>